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Historical IS" sheetId="2" state="visible" r:id="rId2"/>
    <sheet xmlns:r="http://schemas.openxmlformats.org/officeDocument/2006/relationships" name="Historical BS" sheetId="3" state="visible" r:id="rId3"/>
    <sheet xmlns:r="http://schemas.openxmlformats.org/officeDocument/2006/relationships" name="Historical CF" sheetId="4" state="visible" r:id="rId4"/>
    <sheet xmlns:r="http://schemas.openxmlformats.org/officeDocument/2006/relationships" name="Historical Analysis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Forecast &amp; FCFF (Base)" sheetId="7" state="visible" r:id="rId7"/>
    <sheet xmlns:r="http://schemas.openxmlformats.org/officeDocument/2006/relationships" name="DCF (Base)" sheetId="8" state="visible" r:id="rId8"/>
    <sheet xmlns:r="http://schemas.openxmlformats.org/officeDocument/2006/relationships" name="Forecast &amp; FCFF (Bear)" sheetId="9" state="visible" r:id="rId9"/>
    <sheet xmlns:r="http://schemas.openxmlformats.org/officeDocument/2006/relationships" name="DCF (Bear)" sheetId="10" state="visible" r:id="rId10"/>
    <sheet xmlns:r="http://schemas.openxmlformats.org/officeDocument/2006/relationships" name="Forecast &amp; FCFF (Bull)" sheetId="11" state="visible" r:id="rId11"/>
    <sheet xmlns:r="http://schemas.openxmlformats.org/officeDocument/2006/relationships" name="DCF (Bull)" sheetId="12" state="visible" r:id="rId12"/>
    <sheet xmlns:r="http://schemas.openxmlformats.org/officeDocument/2006/relationships" name="Scenario Summary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Sources &amp;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60D70"/>
      <sz val="16"/>
    </font>
    <font>
      <name val="Calibri"/>
      <b val="1"/>
      <color rgb="00160D70"/>
    </font>
    <font>
      <name val="Calibri"/>
      <b val="1"/>
      <color rgb="00160D70"/>
      <sz val="10.5"/>
    </font>
    <font>
      <name val="Calibri"/>
      <b val="1"/>
      <color rgb="00160D70"/>
      <sz val="11"/>
    </font>
    <font>
      <name val="Calibri"/>
      <color rgb="006B67A6"/>
      <sz val="9.5"/>
    </font>
    <font>
      <name val="Calibri"/>
      <b val="1"/>
      <color rgb="00166534"/>
      <sz val="11"/>
    </font>
  </fonts>
  <fills count="10">
    <fill>
      <patternFill/>
    </fill>
    <fill>
      <patternFill patternType="gray125"/>
    </fill>
    <fill>
      <patternFill patternType="solid">
        <fgColor rgb="00160D70"/>
      </patternFill>
    </fill>
    <fill>
      <patternFill patternType="solid">
        <fgColor rgb="00FEF9C3"/>
      </patternFill>
    </fill>
    <fill>
      <patternFill patternType="solid">
        <fgColor rgb="00F1EFFC"/>
      </patternFill>
    </fill>
    <fill>
      <patternFill patternType="solid">
        <fgColor rgb="00DCFCE7"/>
      </patternFill>
    </fill>
    <fill>
      <patternFill patternType="solid">
        <fgColor rgb="002A1FB0"/>
      </patternFill>
    </fill>
    <fill>
      <patternFill patternType="solid">
        <fgColor rgb="00FDE8E8"/>
      </patternFill>
    </fill>
    <fill>
      <patternFill patternType="solid">
        <fgColor rgb="00EDEBFB"/>
      </patternFill>
    </fill>
    <fill>
      <patternFill patternType="solid">
        <fgColor rgb="00E3F9EA"/>
      </patternFill>
    </fill>
  </fills>
  <borders count="4">
    <border>
      <left/>
      <right/>
      <top/>
      <bottom/>
      <diagonal/>
    </border>
    <border>
      <bottom style="medium">
        <color rgb="00160D70"/>
      </bottom>
    </border>
    <border>
      <bottom style="thin">
        <color rgb="00D9D6EE"/>
      </bottom>
    </border>
    <border>
      <bottom style="thin">
        <color rgb="002A1FB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0" borderId="3" pivotButton="0" quotePrefix="0" xfId="0"/>
    <xf numFmtId="0" fontId="0" fillId="0" borderId="3" pivotButton="0" quotePrefix="0" xfId="0"/>
    <xf numFmtId="0" fontId="8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4" fontId="0" fillId="4" borderId="2" pivotButton="0" quotePrefix="0" xfId="0"/>
    <xf numFmtId="3" fontId="0" fillId="4" borderId="2" pivotButton="0" quotePrefix="0" xfId="0"/>
    <xf numFmtId="0" fontId="1" fillId="2" borderId="1" pivotButton="0" quotePrefix="0" xfId="0"/>
    <xf numFmtId="0" fontId="2" fillId="7" borderId="0" pivotButton="0" quotePrefix="0" xfId="0"/>
    <xf numFmtId="4" fontId="0" fillId="7" borderId="2" pivotButton="0" quotePrefix="0" xfId="0"/>
    <xf numFmtId="164" fontId="0" fillId="7" borderId="2" pivotButton="0" quotePrefix="0" xfId="0"/>
    <xf numFmtId="0" fontId="2" fillId="8" borderId="0" pivotButton="0" quotePrefix="0" xfId="0"/>
    <xf numFmtId="4" fontId="7" fillId="8" borderId="2" pivotButton="0" quotePrefix="0" xfId="0"/>
    <xf numFmtId="4" fontId="0" fillId="8" borderId="2" pivotButton="0" quotePrefix="0" xfId="0"/>
    <xf numFmtId="164" fontId="0" fillId="8" borderId="2" pivotButton="0" quotePrefix="0" xfId="0"/>
    <xf numFmtId="0" fontId="2" fillId="9" borderId="0" pivotButton="0" quotePrefix="0" xfId="0"/>
    <xf numFmtId="4" fontId="0" fillId="9" borderId="2" pivotButton="0" quotePrefix="0" xfId="0"/>
    <xf numFmtId="164" fontId="0" fillId="9" borderId="2" pivotButton="0" quotePrefix="0" xfId="0"/>
    <xf numFmtId="164" fontId="0" fillId="4" borderId="2" pivotButton="0" quotePrefix="0" xfId="0"/>
    <xf numFmtId="2" fontId="0" fillId="4" borderId="2" pivotButton="0" quotePrefix="0" xfId="0"/>
    <xf numFmtId="164" fontId="0" fillId="0" borderId="2" pivotButton="0" quotePrefix="0" xfId="0"/>
    <xf numFmtId="0" fontId="9" fillId="9" borderId="0" pivotButton="0" quotePrefix="0" xfId="0"/>
    <xf numFmtId="0" fontId="3" fillId="9" borderId="0" pivotButton="0" quotePrefix="0" xfId="0"/>
    <xf numFmtId="3" fontId="0" fillId="3" borderId="2" pivotButton="0" quotePrefix="0" xfId="0"/>
    <xf numFmtId="3" fontId="0" fillId="5" borderId="2" pivotButton="0" quotePrefix="0" xfId="0"/>
    <xf numFmtId="164" fontId="0" fillId="4" borderId="0" pivotButton="0" quotePrefix="0" xfId="0"/>
    <xf numFmtId="164" fontId="0" fillId="3" borderId="0" pivotButton="0" quotePrefix="0" xfId="0"/>
    <xf numFmtId="2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3" fontId="0" fillId="4" borderId="0" pivotButton="0" quotePrefix="0" xfId="0"/>
    <xf numFmtId="0" fontId="5" fillId="0" borderId="0" pivotButton="0" quotePrefix="0" xfId="0"/>
    <xf numFmtId="164" fontId="3" fillId="6" borderId="0" pivotButton="0" quotePrefix="0" xfId="0"/>
    <xf numFmtId="0" fontId="1" fillId="2" borderId="0" pivotButton="0" quotePrefix="0" xfId="0"/>
    <xf numFmtId="164" fontId="0" fillId="3" borderId="2" pivotButton="0" quotePrefix="0" xfId="0"/>
    <xf numFmtId="1" fontId="0" fillId="4" borderId="2" pivotButton="0" quotePrefix="0" xfId="0"/>
    <xf numFmtId="165" fontId="0" fillId="4" borderId="2" pivotButton="0" quotePrefix="0" xfId="0"/>
    <xf numFmtId="2" fontId="0" fillId="3" borderId="2" pivotButton="0" quotePrefix="0" xfId="0"/>
    <xf numFmtId="4" fontId="3" fillId="6" borderId="2" pivotButton="0" quotePrefix="0" xfId="0"/>
    <xf numFmtId="4" fontId="0" fillId="3" borderId="2" pivotButton="0" quotePrefix="0" xfId="0"/>
    <xf numFmtId="0" fontId="6" fillId="0" borderId="0" pivotButton="0" quotePrefix="0" xfId="0"/>
    <xf numFmtId="3" fontId="0" fillId="7" borderId="2" pivotButton="0" quotePrefix="0" xfId="0"/>
    <xf numFmtId="3" fontId="0" fillId="8" borderId="2" pivotButton="0" quotePrefix="0" xfId="0"/>
    <xf numFmtId="3" fontId="0" fillId="9" borderId="2" pivotButton="0" quotePrefix="0" xfId="0"/>
    <xf numFmtId="164" fontId="1" fillId="2" borderId="0" pivotButton="0" quotePrefix="0" xfId="0"/>
    <xf numFmtId="164" fontId="2" fillId="0" borderId="0" pivotButton="0" quotePrefix="0" xfId="0"/>
    <xf numFmtId="3" fontId="3" fillId="6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0D7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Orion Cloud Systems, Inc. (ORCS) - DCF Valuation</t>
        </is>
      </c>
      <c r="B1" s="2" t="n"/>
    </row>
    <row r="2">
      <c r="A2" s="3" t="inlineStr">
        <is>
          <t>FCFF / WACC Discounted Cash Flow Model  |  Currency: USD (millions)  |  Industry: Enterprise Software / Cloud (SaaS)  |  Country: n/a</t>
        </is>
      </c>
    </row>
    <row r="4" ht="20" customHeight="1">
      <c r="A4" s="4" t="inlineStr">
        <is>
          <t>Company Snapshot</t>
        </is>
      </c>
      <c r="B4" s="4" t="n"/>
      <c r="C4" s="4" t="n"/>
      <c r="D4" s="4" t="n"/>
      <c r="E4" s="4" t="n"/>
    </row>
    <row r="5">
      <c r="A5" s="5" t="inlineStr">
        <is>
          <t>Current Share Price</t>
        </is>
      </c>
      <c r="B5" s="6">
        <f>WACC!$B$11</f>
        <v/>
      </c>
    </row>
    <row r="6">
      <c r="A6" s="5" t="inlineStr">
        <is>
          <t>Diluted Shares Outstanding</t>
        </is>
      </c>
      <c r="B6" s="7">
        <f>WACC!$B$12</f>
        <v/>
      </c>
    </row>
    <row r="7">
      <c r="A7" s="5" t="inlineStr">
        <is>
          <t>Market Capitalisation</t>
        </is>
      </c>
      <c r="B7" s="7">
        <f>WACC!$B$13</f>
        <v/>
      </c>
    </row>
    <row r="9" ht="20" customHeight="1">
      <c r="A9" s="4" t="inlineStr">
        <is>
          <t>Valuation Summary - Value per Share</t>
        </is>
      </c>
      <c r="B9" s="4" t="n"/>
      <c r="C9" s="4" t="n"/>
      <c r="D9" s="4" t="n"/>
      <c r="E9" s="4" t="n"/>
    </row>
    <row r="10" ht="18" customHeight="1">
      <c r="A10" s="8" t="inlineStr">
        <is>
          <t>Scenario</t>
        </is>
      </c>
      <c r="B10" s="8" t="inlineStr">
        <is>
          <t>Value/Share</t>
        </is>
      </c>
      <c r="C10" s="8" t="inlineStr">
        <is>
          <t>Current Price</t>
        </is>
      </c>
      <c r="D10" s="8" t="inlineStr">
        <is>
          <t>Upside/(Downside)</t>
        </is>
      </c>
      <c r="E10" s="8" t="inlineStr">
        <is>
          <t>Terminal Growth</t>
        </is>
      </c>
    </row>
    <row r="11">
      <c r="A11" s="9" t="inlineStr">
        <is>
          <t>Bear</t>
        </is>
      </c>
      <c r="B11" s="10">
        <f>'Scenario Summary'!B4</f>
        <v/>
      </c>
      <c r="C11" s="10">
        <f>'Scenario Summary'!C4</f>
        <v/>
      </c>
      <c r="D11" s="11">
        <f>'Scenario Summary'!D4</f>
        <v/>
      </c>
      <c r="E11" s="11">
        <f>'Scenario Summary'!H4</f>
        <v/>
      </c>
    </row>
    <row r="12">
      <c r="A12" s="12" t="inlineStr">
        <is>
          <t>Base</t>
        </is>
      </c>
      <c r="B12" s="13">
        <f>'Scenario Summary'!B5</f>
        <v/>
      </c>
      <c r="C12" s="14">
        <f>'Scenario Summary'!C5</f>
        <v/>
      </c>
      <c r="D12" s="15">
        <f>'Scenario Summary'!D5</f>
        <v/>
      </c>
      <c r="E12" s="15">
        <f>'Scenario Summary'!H5</f>
        <v/>
      </c>
    </row>
    <row r="13">
      <c r="A13" s="16" t="inlineStr">
        <is>
          <t>Bull</t>
        </is>
      </c>
      <c r="B13" s="17">
        <f>'Scenario Summary'!B6</f>
        <v/>
      </c>
      <c r="C13" s="17">
        <f>'Scenario Summary'!C6</f>
        <v/>
      </c>
      <c r="D13" s="18">
        <f>'Scenario Summary'!D6</f>
        <v/>
      </c>
      <c r="E13" s="18">
        <f>'Scenario Summary'!H6</f>
        <v/>
      </c>
    </row>
    <row r="16" ht="20" customHeight="1">
      <c r="A16" s="4" t="inlineStr">
        <is>
          <t>Cost of Capital</t>
        </is>
      </c>
      <c r="B16" s="4" t="n"/>
      <c r="C16" s="4" t="n"/>
      <c r="D16" s="4" t="n"/>
      <c r="E16" s="4" t="n"/>
    </row>
    <row r="17">
      <c r="A17" s="5" t="inlineStr">
        <is>
          <t>WACC (Base Case)</t>
        </is>
      </c>
      <c r="B17" s="19">
        <f>WACC!$B$17</f>
        <v/>
      </c>
    </row>
    <row r="18">
      <c r="A18" s="5" t="inlineStr">
        <is>
          <t>Cost of Equity</t>
        </is>
      </c>
      <c r="B18" s="19">
        <f>WACC!$B$7</f>
        <v/>
      </c>
    </row>
    <row r="19">
      <c r="A19" s="5" t="inlineStr">
        <is>
          <t>Risk-Free Rate</t>
        </is>
      </c>
      <c r="B19" s="19">
        <f>WACC!$B$3</f>
        <v/>
      </c>
    </row>
    <row r="20">
      <c r="A20" s="5" t="inlineStr">
        <is>
          <t>Beta</t>
        </is>
      </c>
      <c r="B20" s="20">
        <f>WACC!$B$4</f>
        <v/>
      </c>
    </row>
    <row r="22" ht="20" customHeight="1">
      <c r="A22" s="4" t="inlineStr">
        <is>
          <t>Value-Driver Ranking (EV swing %, largest first)</t>
        </is>
      </c>
      <c r="B22" s="4" t="n"/>
      <c r="C22" s="4" t="n"/>
      <c r="D22" s="4" t="n"/>
      <c r="E22" s="4" t="n"/>
    </row>
    <row r="23">
      <c r="A23" t="inlineStr">
        <is>
          <t>WACC (+/-1.0pp)</t>
        </is>
      </c>
      <c r="B23" s="21" t="n">
        <v>0.2872824557484125</v>
      </c>
    </row>
    <row r="24">
      <c r="A24" t="inlineStr">
        <is>
          <t>Terminal Growth (+/-0.5pp)</t>
        </is>
      </c>
      <c r="B24" s="21" t="n">
        <v>0.1080683390973923</v>
      </c>
    </row>
    <row r="25">
      <c r="A25" t="inlineStr">
        <is>
          <t>Terminal EBITDA Margin (+/-1.0pp)</t>
        </is>
      </c>
      <c r="B25" s="21" t="n">
        <v>0.08546076827010848</v>
      </c>
    </row>
    <row r="26">
      <c r="A26" t="inlineStr">
        <is>
          <t>Revenue CAGR (+/-1.0pp/yr)</t>
        </is>
      </c>
      <c r="B26" s="21" t="n">
        <v>0.07150289792700443</v>
      </c>
    </row>
    <row r="27">
      <c r="A27" t="inlineStr">
        <is>
          <t>Capex % of Revenue (+/-0.5pp)</t>
        </is>
      </c>
      <c r="B27" s="21" t="n">
        <v>0.05622418965138717</v>
      </c>
    </row>
    <row r="29" ht="20" customHeight="1">
      <c r="A29" s="22" t="inlineStr">
        <is>
          <t>Model Integrity Score: 100/100  -  Model ready for review</t>
        </is>
      </c>
      <c r="B29" s="23" t="n"/>
      <c r="C29" s="23" t="n"/>
      <c r="D29" s="23" t="n"/>
      <c r="E29" s="2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8" t="inlineStr">
        <is>
          <t>Line Item</t>
        </is>
      </c>
      <c r="B1" s="8" t="inlineStr">
        <is>
          <t>FY2021</t>
        </is>
      </c>
      <c r="C1" s="8" t="inlineStr">
        <is>
          <t>FY2022</t>
        </is>
      </c>
      <c r="D1" s="8" t="inlineStr">
        <is>
          <t>FY2023</t>
        </is>
      </c>
      <c r="E1" s="8" t="inlineStr">
        <is>
          <t>FY2024</t>
        </is>
      </c>
      <c r="F1" s="8" t="inlineStr">
        <is>
          <t>FY2025</t>
        </is>
      </c>
      <c r="G1" s="8" t="inlineStr">
        <is>
          <t>FY2026</t>
        </is>
      </c>
    </row>
    <row r="2">
      <c r="A2" s="5" t="inlineStr">
        <is>
          <t>Revenue</t>
        </is>
      </c>
      <c r="B2" s="24" t="n">
        <v>520</v>
      </c>
      <c r="C2" s="24" t="n">
        <v>610</v>
      </c>
      <c r="D2" s="24" t="n">
        <v>705</v>
      </c>
      <c r="E2" s="24" t="n">
        <v>810</v>
      </c>
      <c r="F2" s="24" t="n">
        <v>930</v>
      </c>
      <c r="G2" s="24" t="n">
        <v>1060</v>
      </c>
    </row>
    <row r="3">
      <c r="A3" s="5" t="inlineStr">
        <is>
          <t>COGS</t>
        </is>
      </c>
      <c r="B3" s="24" t="n">
        <v>-156</v>
      </c>
      <c r="C3" s="24" t="n">
        <v>-179.95</v>
      </c>
      <c r="D3" s="24" t="n">
        <v>-204.45</v>
      </c>
      <c r="E3" s="24" t="n">
        <v>-230.85</v>
      </c>
      <c r="F3" s="24" t="n">
        <v>-260.4</v>
      </c>
      <c r="G3" s="24" t="n">
        <v>-291.5</v>
      </c>
    </row>
    <row r="4">
      <c r="A4" s="5" t="inlineStr">
        <is>
          <t>Gross Profit</t>
        </is>
      </c>
      <c r="B4" s="7">
        <f>B2+B3</f>
        <v/>
      </c>
      <c r="C4" s="7">
        <f>C2+C3</f>
        <v/>
      </c>
      <c r="D4" s="7">
        <f>D2+D3</f>
        <v/>
      </c>
      <c r="E4" s="7">
        <f>E2+E3</f>
        <v/>
      </c>
      <c r="F4" s="7">
        <f>F2+F3</f>
        <v/>
      </c>
      <c r="G4" s="7">
        <f>G2+G3</f>
        <v/>
      </c>
    </row>
    <row r="5">
      <c r="A5" s="5" t="inlineStr">
        <is>
          <t>Gross Margin %</t>
        </is>
      </c>
      <c r="B5" s="19">
        <f>IFERROR(B4/B2,0)</f>
        <v/>
      </c>
      <c r="C5" s="19">
        <f>IFERROR(C4/C2,0)</f>
        <v/>
      </c>
      <c r="D5" s="19">
        <f>IFERROR(D4/D2,0)</f>
        <v/>
      </c>
      <c r="E5" s="19">
        <f>IFERROR(E4/E2,0)</f>
        <v/>
      </c>
      <c r="F5" s="19">
        <f>IFERROR(F4/F2,0)</f>
        <v/>
      </c>
      <c r="G5" s="19">
        <f>IFERROR(G4/G2,0)</f>
        <v/>
      </c>
    </row>
    <row r="6">
      <c r="A6" s="5" t="inlineStr">
        <is>
          <t>R&amp;D</t>
        </is>
      </c>
      <c r="B6" s="24" t="n">
        <v>-83.2</v>
      </c>
      <c r="C6" s="24" t="n">
        <v>-94.55</v>
      </c>
      <c r="D6" s="24" t="n">
        <v>-105.75</v>
      </c>
      <c r="E6" s="24" t="n">
        <v>-117.45</v>
      </c>
      <c r="F6" s="24" t="n">
        <v>-130.2</v>
      </c>
      <c r="G6" s="24" t="n">
        <v>-143.1</v>
      </c>
    </row>
    <row r="7">
      <c r="A7" s="5" t="inlineStr">
        <is>
          <t>S&amp;M</t>
        </is>
      </c>
      <c r="B7" s="24" t="n">
        <v>-135.2</v>
      </c>
      <c r="C7" s="24" t="n">
        <v>-152.5</v>
      </c>
      <c r="D7" s="24" t="n">
        <v>-169.2</v>
      </c>
      <c r="E7" s="24" t="n">
        <v>-190.35</v>
      </c>
      <c r="F7" s="24" t="n">
        <v>-213.9</v>
      </c>
      <c r="G7" s="24" t="n">
        <v>-238.5</v>
      </c>
    </row>
    <row r="8">
      <c r="A8" s="5" t="inlineStr">
        <is>
          <t>G&amp;A</t>
        </is>
      </c>
      <c r="B8" s="24" t="n">
        <v>-52</v>
      </c>
      <c r="C8" s="24" t="n">
        <v>-57.95</v>
      </c>
      <c r="D8" s="24" t="n">
        <v>-63.45</v>
      </c>
      <c r="E8" s="24" t="n">
        <v>-70.47</v>
      </c>
      <c r="F8" s="24" t="n">
        <v>-79.05000000000001</v>
      </c>
      <c r="G8" s="24" t="n">
        <v>-87.98</v>
      </c>
    </row>
    <row r="9">
      <c r="A9" s="5" t="inlineStr">
        <is>
          <t>Other Opex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24" t="n">
        <v>-0</v>
      </c>
    </row>
    <row r="10">
      <c r="A10" s="5" t="inlineStr">
        <is>
          <t>EBITDA</t>
        </is>
      </c>
      <c r="B10" s="7">
        <f>SUM(B4,B6:B9)</f>
        <v/>
      </c>
      <c r="C10" s="7">
        <f>SUM(C4,C6:C9)</f>
        <v/>
      </c>
      <c r="D10" s="7">
        <f>SUM(D4,D6:D9)</f>
        <v/>
      </c>
      <c r="E10" s="7">
        <f>SUM(E4,E6:E9)</f>
        <v/>
      </c>
      <c r="F10" s="7">
        <f>SUM(F4,F6:F9)</f>
        <v/>
      </c>
      <c r="G10" s="7">
        <f>SUM(G4,G6:G9)</f>
        <v/>
      </c>
    </row>
    <row r="11">
      <c r="A11" s="5" t="inlineStr">
        <is>
          <t>EBITDA Margin %</t>
        </is>
      </c>
      <c r="B11" s="19">
        <f>IFERROR(B10/B2,0)</f>
        <v/>
      </c>
      <c r="C11" s="19">
        <f>IFERROR(C10/C2,0)</f>
        <v/>
      </c>
      <c r="D11" s="19">
        <f>IFERROR(D10/D2,0)</f>
        <v/>
      </c>
      <c r="E11" s="19">
        <f>IFERROR(E10/E2,0)</f>
        <v/>
      </c>
      <c r="F11" s="19">
        <f>IFERROR(F10/F2,0)</f>
        <v/>
      </c>
      <c r="G11" s="19">
        <f>IFERROR(G10/G2,0)</f>
        <v/>
      </c>
    </row>
    <row r="12">
      <c r="A12" s="5" t="inlineStr">
        <is>
          <t>D&amp;A</t>
        </is>
      </c>
      <c r="B12" s="24" t="n">
        <v>-21.84</v>
      </c>
      <c r="C12" s="24" t="n">
        <v>-25.01</v>
      </c>
      <c r="D12" s="24" t="n">
        <v>-28.2</v>
      </c>
      <c r="E12" s="24" t="n">
        <v>-31.59</v>
      </c>
      <c r="F12" s="24" t="n">
        <v>-35.34</v>
      </c>
      <c r="G12" s="24" t="n">
        <v>-39.22</v>
      </c>
    </row>
    <row r="13">
      <c r="A13" s="5" t="inlineStr">
        <is>
          <t>EBIT</t>
        </is>
      </c>
      <c r="B13" s="7">
        <f>B10+B12</f>
        <v/>
      </c>
      <c r="C13" s="7">
        <f>C10+C12</f>
        <v/>
      </c>
      <c r="D13" s="7">
        <f>D10+D12</f>
        <v/>
      </c>
      <c r="E13" s="7">
        <f>E10+E12</f>
        <v/>
      </c>
      <c r="F13" s="7">
        <f>F10+F12</f>
        <v/>
      </c>
      <c r="G13" s="7">
        <f>G10+G12</f>
        <v/>
      </c>
    </row>
    <row r="14">
      <c r="A14" s="5" t="inlineStr">
        <is>
          <t>EBIT Margin %</t>
        </is>
      </c>
      <c r="B14" s="19">
        <f>IFERROR(B13/B2,0)</f>
        <v/>
      </c>
      <c r="C14" s="19">
        <f>IFERROR(C13/C2,0)</f>
        <v/>
      </c>
      <c r="D14" s="19">
        <f>IFERROR(D13/D2,0)</f>
        <v/>
      </c>
      <c r="E14" s="19">
        <f>IFERROR(E13/E2,0)</f>
        <v/>
      </c>
      <c r="F14" s="19">
        <f>IFERROR(F13/F2,0)</f>
        <v/>
      </c>
      <c r="G14" s="19">
        <f>IFERROR(G13/G2,0)</f>
        <v/>
      </c>
    </row>
    <row r="15">
      <c r="A15" s="5" t="inlineStr">
        <is>
          <t>Interest Expense</t>
        </is>
      </c>
      <c r="B15" s="24" t="n">
        <v>-8</v>
      </c>
      <c r="C15" s="24" t="n">
        <v>-9</v>
      </c>
      <c r="D15" s="24" t="n">
        <v>-10</v>
      </c>
      <c r="E15" s="24" t="n">
        <v>-11</v>
      </c>
      <c r="F15" s="24" t="n">
        <v>-12</v>
      </c>
      <c r="G15" s="24" t="n">
        <v>-13</v>
      </c>
    </row>
    <row r="16">
      <c r="A16" s="5" t="inlineStr">
        <is>
          <t>Other Below EBIT (net, non-operating)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</row>
    <row r="17">
      <c r="A17" s="5" t="inlineStr">
        <is>
          <t>Pre-Tax Income</t>
        </is>
      </c>
      <c r="B17" s="7">
        <f>B13+B15+B16</f>
        <v/>
      </c>
      <c r="C17" s="7">
        <f>C13+C15+C16</f>
        <v/>
      </c>
      <c r="D17" s="7">
        <f>D13+D15+D16</f>
        <v/>
      </c>
      <c r="E17" s="7">
        <f>E13+E15+E16</f>
        <v/>
      </c>
      <c r="F17" s="7">
        <f>F13+F15+F16</f>
        <v/>
      </c>
      <c r="G17" s="7">
        <f>G13+G15+G16</f>
        <v/>
      </c>
    </row>
    <row r="18">
      <c r="A18" s="5" t="inlineStr">
        <is>
          <t>Taxes</t>
        </is>
      </c>
      <c r="B18" s="24" t="n">
        <v>-15.30239999999999</v>
      </c>
      <c r="C18" s="24" t="n">
        <v>-21.84959999999999</v>
      </c>
      <c r="D18" s="24" t="n">
        <v>-30.36775</v>
      </c>
      <c r="E18" s="24" t="n">
        <v>-37.9896</v>
      </c>
      <c r="F18" s="24" t="n">
        <v>-46.79084999999997</v>
      </c>
      <c r="G18" s="24" t="n">
        <v>-59.20799999999998</v>
      </c>
    </row>
    <row r="19">
      <c r="A19" s="5" t="inlineStr">
        <is>
          <t>Effective Tax Rate %</t>
        </is>
      </c>
      <c r="B19" s="19">
        <f>IFERROR(-B18/B17,0)</f>
        <v/>
      </c>
      <c r="C19" s="19">
        <f>IFERROR(-C18/C17,0)</f>
        <v/>
      </c>
      <c r="D19" s="19">
        <f>IFERROR(-D18/D17,0)</f>
        <v/>
      </c>
      <c r="E19" s="19">
        <f>IFERROR(-E18/E17,0)</f>
        <v/>
      </c>
      <c r="F19" s="19">
        <f>IFERROR(-F18/F17,0)</f>
        <v/>
      </c>
      <c r="G19" s="19">
        <f>IFERROR(-G18/G17,0)</f>
        <v/>
      </c>
    </row>
    <row r="20">
      <c r="A20" s="5" t="inlineStr">
        <is>
          <t>Net Income</t>
        </is>
      </c>
      <c r="B20" s="7">
        <f>B17+B18</f>
        <v/>
      </c>
      <c r="C20" s="7">
        <f>C17+C18</f>
        <v/>
      </c>
      <c r="D20" s="7">
        <f>D17+D18</f>
        <v/>
      </c>
      <c r="E20" s="7">
        <f>E17+E18</f>
        <v/>
      </c>
      <c r="F20" s="7">
        <f>F17+F18</f>
        <v/>
      </c>
      <c r="G20" s="7">
        <f>G17+G18</f>
        <v/>
      </c>
    </row>
    <row r="22">
      <c r="A22" s="5" t="inlineStr">
        <is>
          <t>Revenue Growth % (YoY)</t>
        </is>
      </c>
      <c r="C22" s="19">
        <f>IFERROR(C2/B2-1,"")</f>
        <v/>
      </c>
      <c r="D22" s="19">
        <f>IFERROR(D2/C2-1,"")</f>
        <v/>
      </c>
      <c r="E22" s="19">
        <f>IFERROR(E2/D2-1,"")</f>
        <v/>
      </c>
      <c r="F22" s="19">
        <f>IFERROR(F2/E2-1,"")</f>
        <v/>
      </c>
      <c r="G22" s="19">
        <f>IFERROR(G2/F2-1,"")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8" t="inlineStr">
        <is>
          <t>Line Item</t>
        </is>
      </c>
      <c r="B1" s="8" t="inlineStr">
        <is>
          <t>FY2021</t>
        </is>
      </c>
      <c r="C1" s="8" t="inlineStr">
        <is>
          <t>FY2022</t>
        </is>
      </c>
      <c r="D1" s="8" t="inlineStr">
        <is>
          <t>FY2023</t>
        </is>
      </c>
      <c r="E1" s="8" t="inlineStr">
        <is>
          <t>FY2024</t>
        </is>
      </c>
      <c r="F1" s="8" t="inlineStr">
        <is>
          <t>FY2025</t>
        </is>
      </c>
      <c r="G1" s="8" t="inlineStr">
        <is>
          <t>FY2026</t>
        </is>
      </c>
    </row>
    <row r="2">
      <c r="A2" s="5" t="inlineStr">
        <is>
          <t>Cash &amp; Equivalents</t>
        </is>
      </c>
      <c r="B2" s="24" t="n">
        <v>200.9376</v>
      </c>
      <c r="C2" s="24" t="n">
        <v>268.091</v>
      </c>
      <c r="D2" s="24" t="n">
        <v>360.6832499999999</v>
      </c>
      <c r="E2" s="24" t="n">
        <v>482.1796499999999</v>
      </c>
      <c r="F2" s="24" t="n">
        <v>637.1257999999998</v>
      </c>
      <c r="G2" s="24" t="n">
        <v>829.5717999999997</v>
      </c>
    </row>
    <row r="3">
      <c r="A3" s="5" t="inlineStr">
        <is>
          <t>Marketable Securities</t>
        </is>
      </c>
      <c r="B3" s="24" t="n">
        <v>40</v>
      </c>
      <c r="C3" s="24" t="n">
        <v>40</v>
      </c>
      <c r="D3" s="24" t="n">
        <v>40</v>
      </c>
      <c r="E3" s="24" t="n">
        <v>40</v>
      </c>
      <c r="F3" s="24" t="n">
        <v>40</v>
      </c>
      <c r="G3" s="24" t="n">
        <v>40</v>
      </c>
    </row>
    <row r="4">
      <c r="A4" s="5" t="inlineStr">
        <is>
          <t>Accounts Receivable</t>
        </is>
      </c>
      <c r="B4" s="24" t="n">
        <v>75.39999999999999</v>
      </c>
      <c r="C4" s="24" t="n">
        <v>90.28</v>
      </c>
      <c r="D4" s="24" t="n">
        <v>105.75</v>
      </c>
      <c r="E4" s="24" t="n">
        <v>123.12</v>
      </c>
      <c r="F4" s="24" t="n">
        <v>143.22</v>
      </c>
      <c r="G4" s="24" t="n">
        <v>165.36</v>
      </c>
    </row>
    <row r="5">
      <c r="A5" s="5" t="inlineStr">
        <is>
          <t>Inventory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</row>
    <row r="6">
      <c r="A6" s="5" t="inlineStr">
        <is>
          <t>Other Current Assets</t>
        </is>
      </c>
      <c r="B6" s="24" t="n">
        <v>26</v>
      </c>
      <c r="C6" s="24" t="n">
        <v>30.5</v>
      </c>
      <c r="D6" s="24" t="n">
        <v>35.25</v>
      </c>
      <c r="E6" s="24" t="n">
        <v>40.5</v>
      </c>
      <c r="F6" s="24" t="n">
        <v>46.5</v>
      </c>
      <c r="G6" s="24" t="n">
        <v>53</v>
      </c>
    </row>
    <row r="7">
      <c r="A7" s="5" t="inlineStr">
        <is>
          <t>PP&amp;E</t>
        </is>
      </c>
      <c r="B7" s="24" t="n">
        <v>216.76</v>
      </c>
      <c r="C7" s="24" t="n">
        <v>224.08</v>
      </c>
      <c r="D7" s="24" t="n">
        <v>232.54</v>
      </c>
      <c r="E7" s="24" t="n">
        <v>241.45</v>
      </c>
      <c r="F7" s="24" t="n">
        <v>251.68</v>
      </c>
      <c r="G7" s="24" t="n">
        <v>263.34</v>
      </c>
    </row>
    <row r="8">
      <c r="A8" s="5" t="inlineStr">
        <is>
          <t>Goodwill</t>
        </is>
      </c>
      <c r="B8" s="24" t="n">
        <v>180</v>
      </c>
      <c r="C8" s="24" t="n">
        <v>180</v>
      </c>
      <c r="D8" s="24" t="n">
        <v>180</v>
      </c>
      <c r="E8" s="24" t="n">
        <v>180</v>
      </c>
      <c r="F8" s="24" t="n">
        <v>180</v>
      </c>
      <c r="G8" s="24" t="n">
        <v>180</v>
      </c>
    </row>
    <row r="9">
      <c r="A9" s="5" t="inlineStr">
        <is>
          <t>Intangible Assets</t>
        </is>
      </c>
      <c r="B9" s="24" t="n">
        <v>45</v>
      </c>
      <c r="C9" s="24" t="n">
        <v>42</v>
      </c>
      <c r="D9" s="24" t="n">
        <v>40</v>
      </c>
      <c r="E9" s="24" t="n">
        <v>38</v>
      </c>
      <c r="F9" s="24" t="n">
        <v>36</v>
      </c>
      <c r="G9" s="24" t="n">
        <v>34</v>
      </c>
    </row>
    <row r="10">
      <c r="A10" s="5" t="inlineStr">
        <is>
          <t>Other Assets</t>
        </is>
      </c>
      <c r="B10" s="24" t="n">
        <v>15.6</v>
      </c>
      <c r="C10" s="24" t="n">
        <v>18.3</v>
      </c>
      <c r="D10" s="24" t="n">
        <v>21.15</v>
      </c>
      <c r="E10" s="24" t="n">
        <v>24.3</v>
      </c>
      <c r="F10" s="24" t="n">
        <v>27.9</v>
      </c>
      <c r="G10" s="24" t="n">
        <v>31.8</v>
      </c>
    </row>
    <row r="11">
      <c r="A11" s="5" t="inlineStr">
        <is>
          <t>Total Assets</t>
        </is>
      </c>
      <c r="B11" s="7">
        <f>SUM(B2:B10)</f>
        <v/>
      </c>
      <c r="C11" s="7">
        <f>SUM(C2:C10)</f>
        <v/>
      </c>
      <c r="D11" s="7">
        <f>SUM(D2:D10)</f>
        <v/>
      </c>
      <c r="E11" s="7">
        <f>SUM(E2:E10)</f>
        <v/>
      </c>
      <c r="F11" s="7">
        <f>SUM(F2:F10)</f>
        <v/>
      </c>
      <c r="G11" s="7">
        <f>SUM(G2:G10)</f>
        <v/>
      </c>
    </row>
    <row r="13">
      <c r="A13" s="5" t="inlineStr">
        <is>
          <t>Accounts Payable</t>
        </is>
      </c>
      <c r="B13" s="24" t="n">
        <v>21.84000000000001</v>
      </c>
      <c r="C13" s="24" t="n">
        <v>25.193</v>
      </c>
      <c r="D13" s="24" t="n">
        <v>28.623</v>
      </c>
      <c r="E13" s="24" t="n">
        <v>32.31900000000001</v>
      </c>
      <c r="F13" s="24" t="n">
        <v>36.45600000000001</v>
      </c>
      <c r="G13" s="24" t="n">
        <v>40.81</v>
      </c>
    </row>
    <row r="14">
      <c r="A14" s="5" t="inlineStr">
        <is>
          <t>Accrued Liabilities</t>
        </is>
      </c>
      <c r="B14" s="24" t="n">
        <v>31.2</v>
      </c>
      <c r="C14" s="24" t="n">
        <v>36.6</v>
      </c>
      <c r="D14" s="24" t="n">
        <v>42.3</v>
      </c>
      <c r="E14" s="24" t="n">
        <v>48.6</v>
      </c>
      <c r="F14" s="24" t="n">
        <v>55.8</v>
      </c>
      <c r="G14" s="24" t="n">
        <v>63.59999999999999</v>
      </c>
    </row>
    <row r="15">
      <c r="A15" s="5" t="inlineStr">
        <is>
          <t>Short-Term Debt</t>
        </is>
      </c>
      <c r="B15" s="24" t="n">
        <v>20</v>
      </c>
      <c r="C15" s="24" t="n">
        <v>20</v>
      </c>
      <c r="D15" s="24" t="n">
        <v>20</v>
      </c>
      <c r="E15" s="24" t="n">
        <v>20</v>
      </c>
      <c r="F15" s="24" t="n">
        <v>20</v>
      </c>
      <c r="G15" s="24" t="n">
        <v>20</v>
      </c>
    </row>
    <row r="16">
      <c r="A16" s="5" t="inlineStr">
        <is>
          <t>Long-Term Debt</t>
        </is>
      </c>
      <c r="B16" s="24" t="n">
        <v>220</v>
      </c>
      <c r="C16" s="24" t="n">
        <v>215</v>
      </c>
      <c r="D16" s="24" t="n">
        <v>210</v>
      </c>
      <c r="E16" s="24" t="n">
        <v>205</v>
      </c>
      <c r="F16" s="24" t="n">
        <v>200</v>
      </c>
      <c r="G16" s="24" t="n">
        <v>195</v>
      </c>
    </row>
    <row r="17">
      <c r="A17" s="5" t="inlineStr">
        <is>
          <t>Lease Liabilities</t>
        </is>
      </c>
      <c r="B17" s="24" t="n">
        <v>45</v>
      </c>
      <c r="C17" s="24" t="n">
        <v>44</v>
      </c>
      <c r="D17" s="24" t="n">
        <v>43</v>
      </c>
      <c r="E17" s="24" t="n">
        <v>42</v>
      </c>
      <c r="F17" s="24" t="n">
        <v>41</v>
      </c>
      <c r="G17" s="24" t="n">
        <v>40</v>
      </c>
    </row>
    <row r="18">
      <c r="A18" s="5" t="inlineStr">
        <is>
          <t>Other Liabilities</t>
        </is>
      </c>
      <c r="B18" s="24" t="n">
        <v>20.8</v>
      </c>
      <c r="C18" s="24" t="n">
        <v>24.4</v>
      </c>
      <c r="D18" s="24" t="n">
        <v>28.2</v>
      </c>
      <c r="E18" s="24" t="n">
        <v>32.4</v>
      </c>
      <c r="F18" s="24" t="n">
        <v>37.2</v>
      </c>
      <c r="G18" s="24" t="n">
        <v>42.4</v>
      </c>
    </row>
    <row r="19">
      <c r="A19" s="5" t="inlineStr">
        <is>
          <t>Total Liabilities</t>
        </is>
      </c>
      <c r="B19" s="7">
        <f>SUM(B13:B18)</f>
        <v/>
      </c>
      <c r="C19" s="7">
        <f>SUM(C13:C18)</f>
        <v/>
      </c>
      <c r="D19" s="7">
        <f>SUM(D13:D18)</f>
        <v/>
      </c>
      <c r="E19" s="7">
        <f>SUM(E13:E18)</f>
        <v/>
      </c>
      <c r="F19" s="7">
        <f>SUM(F13:F18)</f>
        <v/>
      </c>
      <c r="G19" s="7">
        <f>SUM(G13:G18)</f>
        <v/>
      </c>
    </row>
    <row r="20">
      <c r="A20" s="5" t="inlineStr">
        <is>
          <t>Shareholders' Equity</t>
        </is>
      </c>
      <c r="B20" s="24" t="n">
        <v>440.8575999999999</v>
      </c>
      <c r="C20" s="24" t="n">
        <v>528.058</v>
      </c>
      <c r="D20" s="24" t="n">
        <v>643.2502500000001</v>
      </c>
      <c r="E20" s="24" t="n">
        <v>789.23065</v>
      </c>
      <c r="F20" s="24" t="n">
        <v>971.9698000000001</v>
      </c>
      <c r="G20" s="24" t="n">
        <v>1195.2618</v>
      </c>
    </row>
    <row r="21">
      <c r="A21" s="5" t="inlineStr">
        <is>
          <t>Total Liabilities + Equity</t>
        </is>
      </c>
      <c r="B21" s="7">
        <f>B19+B20</f>
        <v/>
      </c>
      <c r="C21" s="7">
        <f>C19+C20</f>
        <v/>
      </c>
      <c r="D21" s="7">
        <f>D19+D20</f>
        <v/>
      </c>
      <c r="E21" s="7">
        <f>E19+E20</f>
        <v/>
      </c>
      <c r="F21" s="7">
        <f>F19+F20</f>
        <v/>
      </c>
      <c r="G21" s="7">
        <f>G19+G20</f>
        <v/>
      </c>
    </row>
    <row r="22">
      <c r="A22" s="5" t="inlineStr">
        <is>
          <t>Balance Check (Assets − (Liab.+Equity))</t>
        </is>
      </c>
      <c r="B22" s="25">
        <f>B11-B21</f>
        <v/>
      </c>
      <c r="C22" s="25">
        <f>C11-C21</f>
        <v/>
      </c>
      <c r="D22" s="25">
        <f>D11-D21</f>
        <v/>
      </c>
      <c r="E22" s="25">
        <f>E11-E21</f>
        <v/>
      </c>
      <c r="F22" s="25">
        <f>F11-F21</f>
        <v/>
      </c>
      <c r="G22" s="25">
        <f>G11-G21</f>
        <v/>
      </c>
    </row>
    <row r="23">
      <c r="A23" t="inlineStr">
        <is>
          <t>Should be ~0 for every year: confirms Assets = Liabilities + Equity ties out exactly.</t>
        </is>
      </c>
    </row>
    <row r="24">
      <c r="A24" s="5" t="inlineStr">
        <is>
          <t>Total Debt (ST + LT)</t>
        </is>
      </c>
      <c r="B24" s="7">
        <f>B15+B16</f>
        <v/>
      </c>
      <c r="C24" s="7">
        <f>C15+C16</f>
        <v/>
      </c>
      <c r="D24" s="7">
        <f>D15+D16</f>
        <v/>
      </c>
      <c r="E24" s="7">
        <f>E15+E16</f>
        <v/>
      </c>
      <c r="F24" s="7">
        <f>F15+F16</f>
        <v/>
      </c>
      <c r="G24" s="7">
        <f>G15+G16</f>
        <v/>
      </c>
    </row>
    <row r="25">
      <c r="A25" s="5" t="inlineStr">
        <is>
          <t>Total Debt &amp; Leases</t>
        </is>
      </c>
      <c r="B25" s="7">
        <f>B24+B17</f>
        <v/>
      </c>
      <c r="C25" s="7">
        <f>C24+C17</f>
        <v/>
      </c>
      <c r="D25" s="7">
        <f>D24+D17</f>
        <v/>
      </c>
      <c r="E25" s="7">
        <f>E24+E17</f>
        <v/>
      </c>
      <c r="F25" s="7">
        <f>F24+F17</f>
        <v/>
      </c>
      <c r="G25" s="7">
        <f>G24+G17</f>
        <v/>
      </c>
    </row>
    <row r="26">
      <c r="A26" s="5" t="inlineStr">
        <is>
          <t>Total Cash &amp; Investments</t>
        </is>
      </c>
      <c r="B26" s="7">
        <f>B2+B3</f>
        <v/>
      </c>
      <c r="C26" s="7">
        <f>C2+C3</f>
        <v/>
      </c>
      <c r="D26" s="7">
        <f>D2+D3</f>
        <v/>
      </c>
      <c r="E26" s="7">
        <f>E2+E3</f>
        <v/>
      </c>
      <c r="F26" s="7">
        <f>F2+F3</f>
        <v/>
      </c>
      <c r="G26" s="7">
        <f>G2+G3</f>
        <v/>
      </c>
    </row>
    <row r="27">
      <c r="A27" s="5" t="inlineStr">
        <is>
          <t>Net Working Capital</t>
        </is>
      </c>
      <c r="B27" s="7">
        <f>(B4+B5+B6)-(B13+B14)</f>
        <v/>
      </c>
      <c r="C27" s="7">
        <f>(C4+C5+C6)-(C13+C14)</f>
        <v/>
      </c>
      <c r="D27" s="7">
        <f>(D4+D5+D6)-(D13+D14)</f>
        <v/>
      </c>
      <c r="E27" s="7">
        <f>(E4+E5+E6)-(E13+E14)</f>
        <v/>
      </c>
      <c r="F27" s="7">
        <f>(F4+F5+F6)-(F13+F14)</f>
        <v/>
      </c>
      <c r="G27" s="7">
        <f>(G4+G5+G6)-(G13+G14)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8" t="inlineStr">
        <is>
          <t>Line Item</t>
        </is>
      </c>
      <c r="B1" s="8" t="inlineStr">
        <is>
          <t>FY2021</t>
        </is>
      </c>
      <c r="C1" s="8" t="inlineStr">
        <is>
          <t>FY2022</t>
        </is>
      </c>
      <c r="D1" s="8" t="inlineStr">
        <is>
          <t>FY2023</t>
        </is>
      </c>
      <c r="E1" s="8" t="inlineStr">
        <is>
          <t>FY2024</t>
        </is>
      </c>
      <c r="F1" s="8" t="inlineStr">
        <is>
          <t>FY2025</t>
        </is>
      </c>
      <c r="G1" s="8" t="inlineStr">
        <is>
          <t>FY2026</t>
        </is>
      </c>
    </row>
    <row r="2">
      <c r="A2" s="5" t="inlineStr">
        <is>
          <t>Net Income</t>
        </is>
      </c>
      <c r="B2" s="24" t="n">
        <v>48.45759999999997</v>
      </c>
      <c r="C2" s="24" t="n">
        <v>69.19039999999995</v>
      </c>
      <c r="D2" s="24" t="n">
        <v>93.58224999999999</v>
      </c>
      <c r="E2" s="24" t="n">
        <v>120.3004</v>
      </c>
      <c r="F2" s="24" t="n">
        <v>152.3191499999999</v>
      </c>
      <c r="G2" s="24" t="n">
        <v>187.492</v>
      </c>
    </row>
    <row r="3">
      <c r="A3" s="5" t="inlineStr">
        <is>
          <t>D&amp;A</t>
        </is>
      </c>
      <c r="B3" s="24" t="n">
        <v>21.84</v>
      </c>
      <c r="C3" s="24" t="n">
        <v>25.01</v>
      </c>
      <c r="D3" s="24" t="n">
        <v>28.2</v>
      </c>
      <c r="E3" s="24" t="n">
        <v>31.59</v>
      </c>
      <c r="F3" s="24" t="n">
        <v>35.34</v>
      </c>
      <c r="G3" s="24" t="n">
        <v>39.22</v>
      </c>
    </row>
    <row r="4">
      <c r="A4" s="5" t="inlineStr">
        <is>
          <t>Stock-Based Compensation</t>
        </is>
      </c>
      <c r="B4" s="24" t="n">
        <v>15.6</v>
      </c>
      <c r="C4" s="24" t="n">
        <v>18.91</v>
      </c>
      <c r="D4" s="24" t="n">
        <v>22.56</v>
      </c>
      <c r="E4" s="24" t="n">
        <v>26.73</v>
      </c>
      <c r="F4" s="24" t="n">
        <v>31.62</v>
      </c>
      <c r="G4" s="24" t="n">
        <v>37.1</v>
      </c>
    </row>
    <row r="5">
      <c r="A5" s="5" t="inlineStr">
        <is>
          <t>Other Non-Cash Items</t>
        </is>
      </c>
      <c r="B5" s="24" t="n">
        <v>2</v>
      </c>
      <c r="C5" s="24" t="n">
        <v>3</v>
      </c>
      <c r="D5" s="24" t="n">
        <v>2</v>
      </c>
      <c r="E5" s="24" t="n">
        <v>2</v>
      </c>
      <c r="F5" s="24" t="n">
        <v>2</v>
      </c>
      <c r="G5" s="24" t="n">
        <v>2</v>
      </c>
    </row>
    <row r="6">
      <c r="A6" s="5" t="inlineStr">
        <is>
          <t>(Increase)/Decrease in NWC</t>
        </is>
      </c>
      <c r="B6" s="24" t="n">
        <v>-3.359999999999985</v>
      </c>
      <c r="C6" s="24" t="n">
        <v>-10.627</v>
      </c>
      <c r="D6" s="24" t="n">
        <v>-11.09000000000001</v>
      </c>
      <c r="E6" s="24" t="n">
        <v>-12.624</v>
      </c>
      <c r="F6" s="24" t="n">
        <v>-14.76299999999999</v>
      </c>
      <c r="G6" s="24" t="n">
        <v>-16.48600000000003</v>
      </c>
    </row>
    <row r="7">
      <c r="A7" s="5" t="inlineStr">
        <is>
          <t>Cash Flow from Operations</t>
        </is>
      </c>
      <c r="B7" s="7">
        <f>SUM(B2:B6)</f>
        <v/>
      </c>
      <c r="C7" s="7">
        <f>SUM(C2:C6)</f>
        <v/>
      </c>
      <c r="D7" s="7">
        <f>SUM(D2:D6)</f>
        <v/>
      </c>
      <c r="E7" s="7">
        <f>SUM(E2:E6)</f>
        <v/>
      </c>
      <c r="F7" s="7">
        <f>SUM(F2:F6)</f>
        <v/>
      </c>
      <c r="G7" s="7">
        <f>SUM(G2:G6)</f>
        <v/>
      </c>
    </row>
    <row r="9">
      <c r="A9" s="5" t="inlineStr">
        <is>
          <t>Capex</t>
        </is>
      </c>
      <c r="B9" s="24" t="n">
        <v>-28.6</v>
      </c>
      <c r="C9" s="24" t="n">
        <v>-32.33</v>
      </c>
      <c r="D9" s="24" t="n">
        <v>-36.66</v>
      </c>
      <c r="E9" s="24" t="n">
        <v>-40.5</v>
      </c>
      <c r="F9" s="24" t="n">
        <v>-45.57</v>
      </c>
      <c r="G9" s="24" t="n">
        <v>-50.88</v>
      </c>
    </row>
    <row r="10">
      <c r="A10" s="5" t="inlineStr">
        <is>
          <t>Acquisitions</t>
        </is>
      </c>
      <c r="B10" s="24" t="n">
        <v>-0</v>
      </c>
      <c r="C10" s="24" t="n">
        <v>-0</v>
      </c>
      <c r="D10" s="24" t="n">
        <v>-0</v>
      </c>
      <c r="E10" s="24" t="n">
        <v>-0</v>
      </c>
      <c r="F10" s="24" t="n">
        <v>-0</v>
      </c>
      <c r="G10" s="24" t="n">
        <v>-0</v>
      </c>
    </row>
    <row r="11">
      <c r="A11" s="5" t="inlineStr">
        <is>
          <t>Other Investing</t>
        </is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</row>
    <row r="12">
      <c r="A12" s="5" t="inlineStr">
        <is>
          <t>Cash Flow from Investing</t>
        </is>
      </c>
      <c r="B12" s="7">
        <f>SUM(B9:B11)</f>
        <v/>
      </c>
      <c r="C12" s="7">
        <f>SUM(C9:C11)</f>
        <v/>
      </c>
      <c r="D12" s="7">
        <f>SUM(D9:D11)</f>
        <v/>
      </c>
      <c r="E12" s="7">
        <f>SUM(E9:E11)</f>
        <v/>
      </c>
      <c r="F12" s="7">
        <f>SUM(F9:F11)</f>
        <v/>
      </c>
      <c r="G12" s="7">
        <f>SUM(G9:G11)</f>
        <v/>
      </c>
    </row>
    <row r="14">
      <c r="A14" s="5" t="inlineStr">
        <is>
          <t>Debt Issuance/(Repayment)</t>
        </is>
      </c>
      <c r="B14" s="24" t="n">
        <v>-5</v>
      </c>
      <c r="C14" s="24" t="n">
        <v>-6</v>
      </c>
      <c r="D14" s="24" t="n">
        <v>-6</v>
      </c>
      <c r="E14" s="24" t="n">
        <v>-6</v>
      </c>
      <c r="F14" s="24" t="n">
        <v>-6</v>
      </c>
      <c r="G14" s="24" t="n">
        <v>-6</v>
      </c>
    </row>
    <row r="15">
      <c r="A15" s="5" t="inlineStr">
        <is>
          <t>Equity Issuance/(Repurchase)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</row>
    <row r="16">
      <c r="A16" s="5" t="inlineStr">
        <is>
          <t>Dividends</t>
        </is>
      </c>
      <c r="B16" s="24" t="n">
        <v>-0</v>
      </c>
      <c r="C16" s="24" t="n">
        <v>-0</v>
      </c>
      <c r="D16" s="24" t="n">
        <v>-0</v>
      </c>
      <c r="E16" s="24" t="n">
        <v>-0</v>
      </c>
      <c r="F16" s="24" t="n">
        <v>-0</v>
      </c>
      <c r="G16" s="24" t="n">
        <v>-0</v>
      </c>
    </row>
    <row r="17">
      <c r="A17" s="5" t="inlineStr">
        <is>
          <t>Cash Flow from Financing</t>
        </is>
      </c>
      <c r="B17" s="7">
        <f>SUM(B14:B16)</f>
        <v/>
      </c>
      <c r="C17" s="7">
        <f>SUM(C14:C16)</f>
        <v/>
      </c>
      <c r="D17" s="7">
        <f>SUM(D14:D16)</f>
        <v/>
      </c>
      <c r="E17" s="7">
        <f>SUM(E14:E16)</f>
        <v/>
      </c>
      <c r="F17" s="7">
        <f>SUM(F14:F16)</f>
        <v/>
      </c>
      <c r="G17" s="7">
        <f>SUM(G14:G16)</f>
        <v/>
      </c>
    </row>
    <row r="19">
      <c r="A19" s="5" t="inlineStr">
        <is>
          <t>Net Change in Cash</t>
        </is>
      </c>
      <c r="B19" s="7">
        <f>B7+B12+B17</f>
        <v/>
      </c>
      <c r="C19" s="7">
        <f>C7+C12+C17</f>
        <v/>
      </c>
      <c r="D19" s="7">
        <f>D7+D12+D17</f>
        <v/>
      </c>
      <c r="E19" s="7">
        <f>E7+E12+E17</f>
        <v/>
      </c>
      <c r="F19" s="7">
        <f>F7+F12+F17</f>
        <v/>
      </c>
      <c r="G19" s="7">
        <f>G7+G12+G17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8" t="inlineStr">
        <is>
          <t>Metric</t>
        </is>
      </c>
      <c r="B1" s="8" t="inlineStr">
        <is>
          <t>FY2021</t>
        </is>
      </c>
      <c r="C1" s="8" t="inlineStr">
        <is>
          <t>FY2022</t>
        </is>
      </c>
      <c r="D1" s="8" t="inlineStr">
        <is>
          <t>FY2023</t>
        </is>
      </c>
      <c r="E1" s="8" t="inlineStr">
        <is>
          <t>FY2024</t>
        </is>
      </c>
      <c r="F1" s="8" t="inlineStr">
        <is>
          <t>FY2025</t>
        </is>
      </c>
      <c r="G1" s="8" t="inlineStr">
        <is>
          <t>FY2026</t>
        </is>
      </c>
    </row>
    <row r="2">
      <c r="A2" s="5" t="inlineStr">
        <is>
          <t>Revenue Growth %</t>
        </is>
      </c>
      <c r="B2" s="19">
        <f>'Historical IS'!B22</f>
        <v/>
      </c>
      <c r="C2" s="19">
        <f>'Historical IS'!C22</f>
        <v/>
      </c>
      <c r="D2" s="19">
        <f>'Historical IS'!D22</f>
        <v/>
      </c>
      <c r="E2" s="19">
        <f>'Historical IS'!E22</f>
        <v/>
      </c>
      <c r="F2" s="19">
        <f>'Historical IS'!F22</f>
        <v/>
      </c>
      <c r="G2" s="19">
        <f>'Historical IS'!G22</f>
        <v/>
      </c>
    </row>
    <row r="3">
      <c r="A3" s="5" t="inlineStr">
        <is>
          <t>Gross Margin %</t>
        </is>
      </c>
      <c r="B3" s="19">
        <f>'Historical IS'!B5</f>
        <v/>
      </c>
      <c r="C3" s="19">
        <f>'Historical IS'!C5</f>
        <v/>
      </c>
      <c r="D3" s="19">
        <f>'Historical IS'!D5</f>
        <v/>
      </c>
      <c r="E3" s="19">
        <f>'Historical IS'!E5</f>
        <v/>
      </c>
      <c r="F3" s="19">
        <f>'Historical IS'!F5</f>
        <v/>
      </c>
      <c r="G3" s="19">
        <f>'Historical IS'!G5</f>
        <v/>
      </c>
    </row>
    <row r="4">
      <c r="A4" s="5" t="inlineStr">
        <is>
          <t>EBITDA Margin %</t>
        </is>
      </c>
      <c r="B4" s="19">
        <f>'Historical IS'!B11</f>
        <v/>
      </c>
      <c r="C4" s="19">
        <f>'Historical IS'!C11</f>
        <v/>
      </c>
      <c r="D4" s="19">
        <f>'Historical IS'!D11</f>
        <v/>
      </c>
      <c r="E4" s="19">
        <f>'Historical IS'!E11</f>
        <v/>
      </c>
      <c r="F4" s="19">
        <f>'Historical IS'!F11</f>
        <v/>
      </c>
      <c r="G4" s="19">
        <f>'Historical IS'!G11</f>
        <v/>
      </c>
    </row>
    <row r="5">
      <c r="A5" s="5" t="inlineStr">
        <is>
          <t>EBIT Margin %</t>
        </is>
      </c>
      <c r="B5" s="19">
        <f>'Historical IS'!B14</f>
        <v/>
      </c>
      <c r="C5" s="19">
        <f>'Historical IS'!C14</f>
        <v/>
      </c>
      <c r="D5" s="19">
        <f>'Historical IS'!D14</f>
        <v/>
      </c>
      <c r="E5" s="19">
        <f>'Historical IS'!E14</f>
        <v/>
      </c>
      <c r="F5" s="19">
        <f>'Historical IS'!F14</f>
        <v/>
      </c>
      <c r="G5" s="19">
        <f>'Historical IS'!G14</f>
        <v/>
      </c>
    </row>
    <row r="6">
      <c r="A6" s="5" t="inlineStr">
        <is>
          <t>Net Margin %</t>
        </is>
      </c>
      <c r="B6" s="19">
        <f>IFERROR('Historical IS'!B20/'Historical IS'!B2,0)</f>
        <v/>
      </c>
      <c r="C6" s="19">
        <f>IFERROR('Historical IS'!C20/'Historical IS'!C2,0)</f>
        <v/>
      </c>
      <c r="D6" s="19">
        <f>IFERROR('Historical IS'!D20/'Historical IS'!D2,0)</f>
        <v/>
      </c>
      <c r="E6" s="19">
        <f>IFERROR('Historical IS'!E20/'Historical IS'!E2,0)</f>
        <v/>
      </c>
      <c r="F6" s="19">
        <f>IFERROR('Historical IS'!F20/'Historical IS'!F2,0)</f>
        <v/>
      </c>
      <c r="G6" s="19">
        <f>IFERROR('Historical IS'!G20/'Historical IS'!G2,0)</f>
        <v/>
      </c>
    </row>
    <row r="7">
      <c r="A7" s="5" t="inlineStr">
        <is>
          <t>Tax Rate %</t>
        </is>
      </c>
      <c r="B7" s="19">
        <f>'Historical IS'!B19</f>
        <v/>
      </c>
      <c r="C7" s="19">
        <f>'Historical IS'!C19</f>
        <v/>
      </c>
      <c r="D7" s="19">
        <f>'Historical IS'!D19</f>
        <v/>
      </c>
      <c r="E7" s="19">
        <f>'Historical IS'!E19</f>
        <v/>
      </c>
      <c r="F7" s="19">
        <f>'Historical IS'!F19</f>
        <v/>
      </c>
      <c r="G7" s="19">
        <f>'Historical IS'!G19</f>
        <v/>
      </c>
    </row>
    <row r="8">
      <c r="A8" s="5" t="inlineStr">
        <is>
          <t>Capex % of Revenue</t>
        </is>
      </c>
      <c r="B8" s="19">
        <f>IFERROR(-'Historical CF'!B9/'Historical IS'!B2,0)</f>
        <v/>
      </c>
      <c r="C8" s="19">
        <f>IFERROR(-'Historical CF'!C9/'Historical IS'!C2,0)</f>
        <v/>
      </c>
      <c r="D8" s="19">
        <f>IFERROR(-'Historical CF'!D9/'Historical IS'!D2,0)</f>
        <v/>
      </c>
      <c r="E8" s="19">
        <f>IFERROR(-'Historical CF'!E9/'Historical IS'!E2,0)</f>
        <v/>
      </c>
      <c r="F8" s="19">
        <f>IFERROR(-'Historical CF'!F9/'Historical IS'!F2,0)</f>
        <v/>
      </c>
      <c r="G8" s="19">
        <f>IFERROR(-'Historical CF'!G9/'Historical IS'!G2,0)</f>
        <v/>
      </c>
    </row>
    <row r="9">
      <c r="A9" s="5" t="inlineStr">
        <is>
          <t>D&amp;A % of Revenue</t>
        </is>
      </c>
      <c r="B9" s="19">
        <f>IFERROR(-'Historical IS'!B12/'Historical IS'!B2,0)</f>
        <v/>
      </c>
      <c r="C9" s="19">
        <f>IFERROR(-'Historical IS'!C12/'Historical IS'!C2,0)</f>
        <v/>
      </c>
      <c r="D9" s="19">
        <f>IFERROR(-'Historical IS'!D12/'Historical IS'!D2,0)</f>
        <v/>
      </c>
      <c r="E9" s="19">
        <f>IFERROR(-'Historical IS'!E12/'Historical IS'!E2,0)</f>
        <v/>
      </c>
      <c r="F9" s="19">
        <f>IFERROR(-'Historical IS'!F12/'Historical IS'!F2,0)</f>
        <v/>
      </c>
      <c r="G9" s="19">
        <f>IFERROR(-'Historical IS'!G12/'Historical IS'!G2,0)</f>
        <v/>
      </c>
    </row>
    <row r="10">
      <c r="A10" s="5" t="inlineStr">
        <is>
          <t>NWC % of Revenue</t>
        </is>
      </c>
      <c r="B10" s="19">
        <f>IFERROR('Historical BS'!B27/'Historical IS'!B2,0)</f>
        <v/>
      </c>
      <c r="C10" s="19">
        <f>IFERROR('Historical BS'!C27/'Historical IS'!C2,0)</f>
        <v/>
      </c>
      <c r="D10" s="19">
        <f>IFERROR('Historical BS'!D27/'Historical IS'!D2,0)</f>
        <v/>
      </c>
      <c r="E10" s="19">
        <f>IFERROR('Historical BS'!E27/'Historical IS'!E2,0)</f>
        <v/>
      </c>
      <c r="F10" s="19">
        <f>IFERROR('Historical BS'!F27/'Historical IS'!F2,0)</f>
        <v/>
      </c>
      <c r="G10" s="19">
        <f>IFERROR('Historical BS'!G27/'Historical IS'!G2,0)</f>
        <v/>
      </c>
    </row>
    <row r="11">
      <c r="A11" s="5" t="inlineStr">
        <is>
          <t>NOPAT</t>
        </is>
      </c>
      <c r="B11" s="7">
        <f>'Historical IS'!B13*(1-'Historical IS'!B19)</f>
        <v/>
      </c>
      <c r="C11" s="7">
        <f>'Historical IS'!C13*(1-'Historical IS'!C19)</f>
        <v/>
      </c>
      <c r="D11" s="7">
        <f>'Historical IS'!D13*(1-'Historical IS'!D19)</f>
        <v/>
      </c>
      <c r="E11" s="7">
        <f>'Historical IS'!E13*(1-'Historical IS'!E19)</f>
        <v/>
      </c>
      <c r="F11" s="7">
        <f>'Historical IS'!F13*(1-'Historical IS'!F19)</f>
        <v/>
      </c>
      <c r="G11" s="7">
        <f>'Historical IS'!G13*(1-'Historical IS'!G19)</f>
        <v/>
      </c>
    </row>
    <row r="12">
      <c r="A12" s="5" t="inlineStr">
        <is>
          <t>Unlevered FCF</t>
        </is>
      </c>
      <c r="B12" s="7">
        <f>B11-'Historical IS'!B12+'Historical CF'!B9+'Historical CF'!B6</f>
        <v/>
      </c>
      <c r="C12" s="7">
        <f>C11-'Historical IS'!C12+'Historical CF'!C9+'Historical CF'!C6</f>
        <v/>
      </c>
      <c r="D12" s="7">
        <f>D11-'Historical IS'!D12+'Historical CF'!D9+'Historical CF'!D6</f>
        <v/>
      </c>
      <c r="E12" s="7">
        <f>E11-'Historical IS'!E12+'Historical CF'!E9+'Historical CF'!E6</f>
        <v/>
      </c>
      <c r="F12" s="7">
        <f>F11-'Historical IS'!F12+'Historical CF'!F9+'Historical CF'!F6</f>
        <v/>
      </c>
      <c r="G12" s="7">
        <f>G11-'Historical IS'!G12+'Historical CF'!G9+'Historical CF'!G6</f>
        <v/>
      </c>
    </row>
    <row r="13">
      <c r="A13" s="5" t="inlineStr">
        <is>
          <t>FCF Margin %</t>
        </is>
      </c>
      <c r="B13" s="19">
        <f>IFERROR(B12/'Historical IS'!B2,0)</f>
        <v/>
      </c>
      <c r="C13" s="19">
        <f>IFERROR(C12/'Historical IS'!C2,0)</f>
        <v/>
      </c>
      <c r="D13" s="19">
        <f>IFERROR(D12/'Historical IS'!D2,0)</f>
        <v/>
      </c>
      <c r="E13" s="19">
        <f>IFERROR(E12/'Historical IS'!E2,0)</f>
        <v/>
      </c>
      <c r="F13" s="19">
        <f>IFERROR(F12/'Historical IS'!F2,0)</f>
        <v/>
      </c>
      <c r="G13" s="19">
        <f>IFERROR(G12/'Historical IS'!G2,0)</f>
        <v/>
      </c>
    </row>
    <row r="16">
      <c r="A16" s="5" t="inlineStr">
        <is>
          <t>Revenue CAGR (3Y)</t>
        </is>
      </c>
      <c r="B16" s="26">
        <f>IFERROR(('Historical IS'!G2/'Historical IS'!D2)^(1/3)-1,"")</f>
        <v/>
      </c>
    </row>
    <row r="17">
      <c r="A17" s="5" t="inlineStr">
        <is>
          <t>Revenue CAGR (5Y)</t>
        </is>
      </c>
      <c r="B17" s="26">
        <f>IFERROR(('Historical IS'!G2/'Historical IS'!B2)^(1/5)-1,"")</f>
        <v/>
      </c>
    </row>
    <row r="19" ht="20" customHeight="1">
      <c r="A19" s="4" t="inlineStr">
        <is>
          <t>Trend Commentary</t>
        </is>
      </c>
      <c r="B19" s="4" t="n"/>
      <c r="C19" s="4" t="n"/>
      <c r="D19" s="4" t="n"/>
      <c r="E19" s="4" t="n"/>
      <c r="F19" s="4" t="n"/>
      <c r="G19" s="4" t="n"/>
    </row>
    <row r="20">
      <c r="A20" t="inlineStr">
        <is>
          <t>Revenue grew at a 15.3% 5-year CAGR (FY2021-FY2026), versus a 14.4% average over the most recent two years, indicating deceleration.</t>
        </is>
      </c>
    </row>
    <row r="21">
      <c r="A21" t="inlineStr">
        <is>
          <t>EBITDA margin expanded from 18.0% in FY2021 to 28.2% in FY2026.</t>
        </is>
      </c>
    </row>
    <row r="22">
      <c r="A22" t="inlineStr">
        <is>
          <t>Average Capex was 5.1% of revenue and average D&amp;A was 4.0% of revenue over the historical period.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0D70"/>
    <outlinePr summaryBelow="1" summaryRight="1"/>
    <pageSetUpPr/>
  </sheetPr>
  <dimension ref="A1:D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70" customWidth="1" min="4" max="4"/>
  </cols>
  <sheetData>
    <row r="1" ht="22" customHeight="1">
      <c r="A1" s="1" t="inlineStr">
        <is>
          <t>Weighted Average Cost of Capital (WACC)</t>
        </is>
      </c>
      <c r="B1" s="2" t="n"/>
    </row>
    <row r="2" ht="18" customHeight="1">
      <c r="A2" s="8" t="inlineStr">
        <is>
          <t>Input</t>
        </is>
      </c>
      <c r="B2" s="8" t="inlineStr">
        <is>
          <t>Value</t>
        </is>
      </c>
      <c r="C2" s="8" t="inlineStr">
        <is>
          <t>Source</t>
        </is>
      </c>
      <c r="D2" s="8" t="inlineStr">
        <is>
          <t>Rationale</t>
        </is>
      </c>
    </row>
    <row r="3">
      <c r="A3" s="5" t="inlineStr">
        <is>
          <t>Risk-Free Rate %</t>
        </is>
      </c>
      <c r="B3" s="27" t="n">
        <v>0.042</v>
      </c>
      <c r="C3" t="inlineStr">
        <is>
          <t>AssumptionSource.MARKET_DATA</t>
        </is>
      </c>
      <c r="D3" t="inlineStr">
        <is>
          <t>10-year government bond yield as of the source date.</t>
        </is>
      </c>
    </row>
    <row r="4">
      <c r="A4" s="5" t="inlineStr">
        <is>
          <t>Beta</t>
        </is>
      </c>
      <c r="B4" s="28" t="n">
        <v>1.15</v>
      </c>
      <c r="C4" t="inlineStr">
        <is>
          <t>AssumptionSource.MARKET_DATA</t>
        </is>
      </c>
      <c r="D4" t="inlineStr">
        <is>
          <t>5-year weekly regression beta vs. broad market index (illustrative demo value).</t>
        </is>
      </c>
    </row>
    <row r="5">
      <c r="A5" s="5" t="inlineStr">
        <is>
          <t>Equity Risk Premium %</t>
        </is>
      </c>
      <c r="B5" s="27" t="n">
        <v>0.055</v>
      </c>
      <c r="C5" t="inlineStr">
        <is>
          <t>AssumptionSource.MARKET_DATA</t>
        </is>
      </c>
      <c r="D5" t="inlineStr">
        <is>
          <t>Long-run historical equity risk premium for the company's market.</t>
        </is>
      </c>
    </row>
    <row r="6">
      <c r="A6" s="5" t="inlineStr">
        <is>
          <t>Size Premium %</t>
        </is>
      </c>
      <c r="B6" s="27" t="n">
        <v>0</v>
      </c>
      <c r="C6" t="inlineStr">
        <is>
          <t>AssumptionSource.CALCULATED</t>
        </is>
      </c>
      <c r="D6" t="inlineStr">
        <is>
          <t>No size premium applied.</t>
        </is>
      </c>
    </row>
    <row r="7">
      <c r="A7" s="5" t="inlineStr">
        <is>
          <t>Cost of Equity % = Rf + Beta × ERP + Size Prem.</t>
        </is>
      </c>
      <c r="B7" s="26">
        <f>B3+B4*B5+B6</f>
        <v/>
      </c>
      <c r="C7" t="inlineStr">
        <is>
          <t>calculated</t>
        </is>
      </c>
      <c r="D7" t="inlineStr">
        <is>
          <t>Rf + Beta x ERP + Size Premium</t>
        </is>
      </c>
    </row>
    <row r="8">
      <c r="A8" s="5" t="inlineStr">
        <is>
          <t>Pre-Tax Cost of Debt %</t>
        </is>
      </c>
      <c r="B8" s="27" t="n">
        <v>0.058</v>
      </c>
      <c r="C8" t="inlineStr">
        <is>
          <t>AssumptionSource.MARKET_DATA</t>
        </is>
      </c>
      <c r="D8" t="inlineStr">
        <is>
          <t>Based on the company's current borrowing rate / comparable credit spread.</t>
        </is>
      </c>
    </row>
    <row r="9">
      <c r="A9" s="5" t="inlineStr">
        <is>
          <t>Tax Rate %</t>
        </is>
      </c>
      <c r="B9" s="27" t="n">
        <v>0.24</v>
      </c>
      <c r="C9" t="inlineStr">
        <is>
          <t>AssumptionSource.HISTORICAL_ACTUAL</t>
        </is>
      </c>
      <c r="D9" t="inlineStr">
        <is>
          <t>Historical effective tax rate used as a proxy for the marginal rate.</t>
        </is>
      </c>
    </row>
    <row r="10">
      <c r="A10" s="5" t="inlineStr">
        <is>
          <t>After-Tax Cost of Debt % = Kd × (1 − Tax)</t>
        </is>
      </c>
      <c r="B10" s="26">
        <f>B8*(1-B9)</f>
        <v/>
      </c>
      <c r="C10" t="inlineStr">
        <is>
          <t>calculated</t>
        </is>
      </c>
      <c r="D10" t="inlineStr">
        <is>
          <t>Pre-Tax Cost of Debt x (1 - Tax Rate)</t>
        </is>
      </c>
    </row>
    <row r="11">
      <c r="A11" s="5" t="inlineStr">
        <is>
          <t>Current Share Price</t>
        </is>
      </c>
      <c r="B11" s="29" t="n">
        <v>62.5</v>
      </c>
      <c r="C11" t="inlineStr">
        <is>
          <t>market_data</t>
        </is>
      </c>
      <c r="D11" t="inlineStr">
        <is>
          <t>Latest traded price.</t>
        </is>
      </c>
    </row>
    <row r="12">
      <c r="A12" s="5" t="inlineStr">
        <is>
          <t>Diluted Shares Outstanding</t>
        </is>
      </c>
      <c r="B12" s="30" t="n">
        <v>115</v>
      </c>
      <c r="C12" t="inlineStr">
        <is>
          <t>market_data</t>
        </is>
      </c>
      <c r="D12" t="inlineStr">
        <is>
          <t>Diluted share count.</t>
        </is>
      </c>
    </row>
    <row r="13">
      <c r="A13" s="5" t="inlineStr">
        <is>
          <t>Market Value of Equity = Price × Shares</t>
        </is>
      </c>
      <c r="B13" s="31">
        <f>B11*B12</f>
        <v/>
      </c>
      <c r="C13" t="inlineStr">
        <is>
          <t>calculated</t>
        </is>
      </c>
      <c r="D13" t="inlineStr">
        <is>
          <t>Current Share Price x Diluted Shares Outstanding.</t>
        </is>
      </c>
    </row>
    <row r="14">
      <c r="A14" s="5" t="inlineStr">
        <is>
          <t>Market Value of Debt</t>
        </is>
      </c>
      <c r="B14" s="30" t="n">
        <v>255</v>
      </c>
      <c r="C14" t="inlineStr">
        <is>
          <t>AssumptionSource.HISTORICAL_ACTUAL</t>
        </is>
      </c>
      <c r="D14" t="inlineStr">
        <is>
          <t>Book value of total debt used as a proxy for market value of debt.</t>
        </is>
      </c>
    </row>
    <row r="15">
      <c r="A15" s="5" t="inlineStr">
        <is>
          <t>Equity Weight % = E / (E+D)</t>
        </is>
      </c>
      <c r="B15" s="26">
        <f>B13/(B13+B14)</f>
        <v/>
      </c>
      <c r="C15" t="inlineStr">
        <is>
          <t>calculated</t>
        </is>
      </c>
      <c r="D15" t="inlineStr">
        <is>
          <t>E / (D+E)</t>
        </is>
      </c>
    </row>
    <row r="16">
      <c r="A16" s="5" t="inlineStr">
        <is>
          <t>Debt Weight % = D / (E+D)</t>
        </is>
      </c>
      <c r="B16" s="26">
        <f>1-B15</f>
        <v/>
      </c>
      <c r="C16" t="inlineStr">
        <is>
          <t>calculated</t>
        </is>
      </c>
      <c r="D16" t="inlineStr">
        <is>
          <t>D / (D+E)</t>
        </is>
      </c>
    </row>
    <row r="17">
      <c r="A17" s="32" t="inlineStr">
        <is>
          <t>WACC % = We×Ke + Wd×Kd(1−t)</t>
        </is>
      </c>
      <c r="B17" s="33">
        <f>B15*B7+B16*B10</f>
        <v/>
      </c>
      <c r="C17" t="inlineStr">
        <is>
          <t>calculated</t>
        </is>
      </c>
      <c r="D17" t="inlineStr">
        <is>
          <t>We x Ke + Wd x Kd(1-t)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A1FB0"/>
    <outlinePr summaryBelow="1" summaryRight="1"/>
    <pageSetUpPr/>
  </sheetPr>
  <dimension ref="A1:H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90" customWidth="1" min="8" max="8"/>
  </cols>
  <sheetData>
    <row r="1" ht="22" customHeight="1">
      <c r="A1" s="1" t="inlineStr">
        <is>
          <t>Forecast &amp; FCFF - Base Case</t>
        </is>
      </c>
      <c r="B1" s="2" t="n"/>
      <c r="H1" s="34" t="inlineStr">
        <is>
          <t>Rationale (final forecast year)</t>
        </is>
      </c>
    </row>
    <row r="3" ht="18" customHeight="1">
      <c r="A3" s="8" t="inlineStr">
        <is>
          <t>Metric</t>
        </is>
      </c>
      <c r="B3" s="8" t="inlineStr">
        <is>
          <t>FY2027</t>
        </is>
      </c>
      <c r="C3" s="8" t="inlineStr">
        <is>
          <t>FY2028</t>
        </is>
      </c>
      <c r="D3" s="8" t="inlineStr">
        <is>
          <t>FY2029</t>
        </is>
      </c>
      <c r="E3" s="8" t="inlineStr">
        <is>
          <t>FY2030</t>
        </is>
      </c>
      <c r="F3" s="8" t="inlineStr">
        <is>
          <t>FY2031</t>
        </is>
      </c>
    </row>
    <row r="4">
      <c r="A4" s="5" t="inlineStr">
        <is>
          <t>Revenue Growth %</t>
        </is>
      </c>
      <c r="B4" s="35" t="n">
        <v>0.1439665471923537</v>
      </c>
      <c r="C4" s="35" t="n">
        <v>0.1179749103942653</v>
      </c>
      <c r="D4" s="35" t="n">
        <v>0.09198327359617685</v>
      </c>
      <c r="E4" s="35" t="n">
        <v>0.06599163679808842</v>
      </c>
      <c r="F4" s="35" t="n">
        <v>0.04000000000000001</v>
      </c>
      <c r="H4" t="inlineStr">
        <is>
          <t>FY2031 revenue growth is assumed at 4.0%, glided from the recent 14.4% run-rate toward a 4.0% long-term normalized rate over the 5-year forecast horizon (vs. 15.3% historical 5-year CAGR), reflecting expected growth normalization.</t>
        </is>
      </c>
    </row>
    <row r="5">
      <c r="A5" s="5" t="inlineStr">
        <is>
          <t>Revenue</t>
        </is>
      </c>
      <c r="B5" s="7">
        <f>'Historical IS'!G$2*(1+B4)</f>
        <v/>
      </c>
      <c r="C5" s="7">
        <f>B5*(1+C4)</f>
        <v/>
      </c>
      <c r="D5" s="7">
        <f>C5*(1+D4)</f>
        <v/>
      </c>
      <c r="E5" s="7">
        <f>D5*(1+E4)</f>
        <v/>
      </c>
      <c r="F5" s="7">
        <f>E5*(1+F4)</f>
        <v/>
      </c>
    </row>
    <row r="6">
      <c r="A6" s="5" t="inlineStr">
        <is>
          <t>Gross Margin %</t>
        </is>
      </c>
      <c r="B6" s="35" t="n">
        <v>0.725</v>
      </c>
      <c r="C6" s="35" t="n">
        <v>0.725</v>
      </c>
      <c r="D6" s="35" t="n">
        <v>0.725</v>
      </c>
      <c r="E6" s="35" t="n">
        <v>0.725</v>
      </c>
      <c r="F6" s="35" t="n">
        <v>0.725</v>
      </c>
      <c r="H6" t="inlineStr">
        <is>
          <t>FY2031 gross margin held at the last actual level of 72.5% (FY2026), consistent with the historical average of 71.2%.</t>
        </is>
      </c>
    </row>
    <row r="7">
      <c r="A7" s="5" t="inlineStr">
        <is>
          <t>Gross Profit</t>
        </is>
      </c>
      <c r="B7" s="7">
        <f>B5*B6</f>
        <v/>
      </c>
      <c r="C7" s="7">
        <f>C5*C6</f>
        <v/>
      </c>
      <c r="D7" s="7">
        <f>D5*D6</f>
        <v/>
      </c>
      <c r="E7" s="7">
        <f>E5*E6</f>
        <v/>
      </c>
      <c r="F7" s="7">
        <f>F5*F6</f>
        <v/>
      </c>
    </row>
    <row r="8">
      <c r="A8" s="5" t="inlineStr">
        <is>
          <t>R&amp;D % of Revenue</t>
        </is>
      </c>
      <c r="B8" s="35" t="n">
        <v>0.135</v>
      </c>
      <c r="C8" s="35" t="n">
        <v>0.135</v>
      </c>
      <c r="D8" s="35" t="n">
        <v>0.135</v>
      </c>
      <c r="E8" s="35" t="n">
        <v>0.135</v>
      </c>
      <c r="F8" s="35" t="n">
        <v>0.135</v>
      </c>
      <c r="H8" t="inlineStr">
        <is>
          <t>R&amp;D % of Revenue modeled at 13.5% of revenue in FY2031, gliding from 13.5% (FY2026 actual) toward 13.5% as the model assumes operating leverage improves EBITDA margin toward 28.2% by FY2031.</t>
        </is>
      </c>
    </row>
    <row r="9">
      <c r="A9" s="5" t="inlineStr">
        <is>
          <t>S&amp;M % of Revenue</t>
        </is>
      </c>
      <c r="B9" s="35" t="n">
        <v>0.225</v>
      </c>
      <c r="C9" s="35" t="n">
        <v>0.225</v>
      </c>
      <c r="D9" s="35" t="n">
        <v>0.225</v>
      </c>
      <c r="E9" s="35" t="n">
        <v>0.225</v>
      </c>
      <c r="F9" s="35" t="n">
        <v>0.225</v>
      </c>
      <c r="H9" t="inlineStr">
        <is>
          <t>S&amp;M % of Revenue modeled at 22.5% of revenue in FY2031, gliding from 22.5% (FY2026 actual) toward 22.5% as the model assumes operating leverage improves EBITDA margin toward 28.2% by FY2031.</t>
        </is>
      </c>
    </row>
    <row r="10">
      <c r="A10" s="5" t="inlineStr">
        <is>
          <t>G&amp;A % of Revenue</t>
        </is>
      </c>
      <c r="B10" s="35" t="n">
        <v>0.083</v>
      </c>
      <c r="C10" s="35" t="n">
        <v>0.083</v>
      </c>
      <c r="D10" s="35" t="n">
        <v>0.083</v>
      </c>
      <c r="E10" s="35" t="n">
        <v>0.083</v>
      </c>
      <c r="F10" s="35" t="n">
        <v>0.083</v>
      </c>
      <c r="H10" t="inlineStr">
        <is>
          <t>G&amp;A % of Revenue modeled at 8.3% of revenue in FY2031, gliding from 8.3% (FY2026 actual) toward 8.3% as the model assumes operating leverage improves EBITDA margin toward 28.2% by FY2031.</t>
        </is>
      </c>
    </row>
    <row r="11">
      <c r="A11" s="5" t="inlineStr">
        <is>
          <t>R&amp;D</t>
        </is>
      </c>
      <c r="B11" s="7">
        <f>B5*B8</f>
        <v/>
      </c>
      <c r="C11" s="7">
        <f>C5*C8</f>
        <v/>
      </c>
      <c r="D11" s="7">
        <f>D5*D8</f>
        <v/>
      </c>
      <c r="E11" s="7">
        <f>E5*E8</f>
        <v/>
      </c>
      <c r="F11" s="7">
        <f>F5*F8</f>
        <v/>
      </c>
    </row>
    <row r="12">
      <c r="A12" s="5" t="inlineStr">
        <is>
          <t>S&amp;M</t>
        </is>
      </c>
      <c r="B12" s="7">
        <f>B5*B9</f>
        <v/>
      </c>
      <c r="C12" s="7">
        <f>C5*C9</f>
        <v/>
      </c>
      <c r="D12" s="7">
        <f>D5*D9</f>
        <v/>
      </c>
      <c r="E12" s="7">
        <f>E5*E9</f>
        <v/>
      </c>
      <c r="F12" s="7">
        <f>F5*F9</f>
        <v/>
      </c>
    </row>
    <row r="13">
      <c r="A13" s="5" t="inlineStr">
        <is>
          <t>G&amp;A</t>
        </is>
      </c>
      <c r="B13" s="7">
        <f>B5*B10</f>
        <v/>
      </c>
      <c r="C13" s="7">
        <f>C5*C10</f>
        <v/>
      </c>
      <c r="D13" s="7">
        <f>D5*D10</f>
        <v/>
      </c>
      <c r="E13" s="7">
        <f>E5*E10</f>
        <v/>
      </c>
      <c r="F13" s="7">
        <f>F5*F10</f>
        <v/>
      </c>
    </row>
    <row r="14">
      <c r="A14" s="5" t="inlineStr">
        <is>
          <t>Total Opex (ex D&amp;A)</t>
        </is>
      </c>
      <c r="B14" s="7">
        <f>SUM(B11:B13)</f>
        <v/>
      </c>
      <c r="C14" s="7">
        <f>SUM(C11:C13)</f>
        <v/>
      </c>
      <c r="D14" s="7">
        <f>SUM(D11:D13)</f>
        <v/>
      </c>
      <c r="E14" s="7">
        <f>SUM(E11:E13)</f>
        <v/>
      </c>
      <c r="F14" s="7">
        <f>SUM(F11:F13)</f>
        <v/>
      </c>
    </row>
    <row r="15">
      <c r="A15" s="5" t="inlineStr">
        <is>
          <t>EBITDA</t>
        </is>
      </c>
      <c r="B15" s="7">
        <f>B7-B14</f>
        <v/>
      </c>
      <c r="C15" s="7">
        <f>C7-C14</f>
        <v/>
      </c>
      <c r="D15" s="7">
        <f>D7-D14</f>
        <v/>
      </c>
      <c r="E15" s="7">
        <f>E7-E14</f>
        <v/>
      </c>
      <c r="F15" s="7">
        <f>F7-F14</f>
        <v/>
      </c>
    </row>
    <row r="16">
      <c r="A16" s="5" t="inlineStr">
        <is>
          <t>EBITDA Margin %</t>
        </is>
      </c>
      <c r="B16" s="19">
        <f>IFERROR(B15/B5,0)</f>
        <v/>
      </c>
      <c r="C16" s="19">
        <f>IFERROR(C15/C5,0)</f>
        <v/>
      </c>
      <c r="D16" s="19">
        <f>IFERROR(D15/D5,0)</f>
        <v/>
      </c>
      <c r="E16" s="19">
        <f>IFERROR(E15/E5,0)</f>
        <v/>
      </c>
      <c r="F16" s="19">
        <f>IFERROR(F15/F5,0)</f>
        <v/>
      </c>
    </row>
    <row r="17">
      <c r="A17" s="5" t="inlineStr">
        <is>
          <t>D&amp;A % of Revenue</t>
        </is>
      </c>
      <c r="B17" s="35" t="n">
        <v>0.0395</v>
      </c>
      <c r="C17" s="35" t="n">
        <v>0.0395</v>
      </c>
      <c r="D17" s="35" t="n">
        <v>0.0395</v>
      </c>
      <c r="E17" s="35" t="n">
        <v>0.0395</v>
      </c>
      <c r="F17" s="35" t="n">
        <v>0.0395</v>
      </c>
      <c r="H17" t="inlineStr">
        <is>
          <t>D&amp;A modeled at the 4.0% historical average of revenue, held flat given no disclosed capex step-change.</t>
        </is>
      </c>
    </row>
    <row r="18">
      <c r="A18" s="5" t="inlineStr">
        <is>
          <t>D&amp;A</t>
        </is>
      </c>
      <c r="B18" s="7">
        <f>B5*B17</f>
        <v/>
      </c>
      <c r="C18" s="7">
        <f>C5*C17</f>
        <v/>
      </c>
      <c r="D18" s="7">
        <f>D5*D17</f>
        <v/>
      </c>
      <c r="E18" s="7">
        <f>E5*E17</f>
        <v/>
      </c>
      <c r="F18" s="7">
        <f>F5*F17</f>
        <v/>
      </c>
    </row>
    <row r="19">
      <c r="A19" s="5" t="inlineStr">
        <is>
          <t>EBIT</t>
        </is>
      </c>
      <c r="B19" s="7">
        <f>B15-B18</f>
        <v/>
      </c>
      <c r="C19" s="7">
        <f>C15-C18</f>
        <v/>
      </c>
      <c r="D19" s="7">
        <f>D15-D18</f>
        <v/>
      </c>
      <c r="E19" s="7">
        <f>E15-E18</f>
        <v/>
      </c>
      <c r="F19" s="7">
        <f>F15-F18</f>
        <v/>
      </c>
    </row>
    <row r="20">
      <c r="A20" s="5" t="inlineStr">
        <is>
          <t>EBIT Margin %</t>
        </is>
      </c>
      <c r="B20" s="19">
        <f>IFERROR(B19/B5,0)</f>
        <v/>
      </c>
      <c r="C20" s="19">
        <f>IFERROR(C19/C5,0)</f>
        <v/>
      </c>
      <c r="D20" s="19">
        <f>IFERROR(D19/D5,0)</f>
        <v/>
      </c>
      <c r="E20" s="19">
        <f>IFERROR(E19/E5,0)</f>
        <v/>
      </c>
      <c r="F20" s="19">
        <f>IFERROR(F19/F5,0)</f>
        <v/>
      </c>
    </row>
    <row r="21">
      <c r="A21" s="5" t="inlineStr">
        <is>
          <t>Tax Rate %</t>
        </is>
      </c>
      <c r="B21" s="35" t="n">
        <v>0.24</v>
      </c>
      <c r="C21" s="35" t="n">
        <v>0.24</v>
      </c>
      <c r="D21" s="35" t="n">
        <v>0.24</v>
      </c>
      <c r="E21" s="35" t="n">
        <v>0.24</v>
      </c>
      <c r="F21" s="35" t="n">
        <v>0.24</v>
      </c>
      <c r="H21" t="inlineStr">
        <is>
          <t>Tax rate held at the 24.0% historical average effective rate.</t>
        </is>
      </c>
    </row>
    <row r="22">
      <c r="A22" s="5" t="inlineStr">
        <is>
          <t>Taxes on EBIT</t>
        </is>
      </c>
      <c r="B22" s="7">
        <f>MAX(B19,0)*B21</f>
        <v/>
      </c>
      <c r="C22" s="7">
        <f>MAX(C19,0)*C21</f>
        <v/>
      </c>
      <c r="D22" s="7">
        <f>MAX(D19,0)*D21</f>
        <v/>
      </c>
      <c r="E22" s="7">
        <f>MAX(E19,0)*E21</f>
        <v/>
      </c>
      <c r="F22" s="7">
        <f>MAX(F19,0)*F21</f>
        <v/>
      </c>
    </row>
    <row r="23">
      <c r="A23" s="5" t="inlineStr">
        <is>
          <t>NOPAT</t>
        </is>
      </c>
      <c r="B23" s="7">
        <f>B19-B22</f>
        <v/>
      </c>
      <c r="C23" s="7">
        <f>C19-C22</f>
        <v/>
      </c>
      <c r="D23" s="7">
        <f>D19-D22</f>
        <v/>
      </c>
      <c r="E23" s="7">
        <f>E19-E22</f>
        <v/>
      </c>
      <c r="F23" s="7">
        <f>F19-F22</f>
        <v/>
      </c>
    </row>
    <row r="24">
      <c r="A24" s="5" t="inlineStr">
        <is>
          <t>Capex % of Revenue</t>
        </is>
      </c>
      <c r="B24" s="35" t="n">
        <v>0.05116666666666667</v>
      </c>
      <c r="C24" s="35" t="n">
        <v>0.04825</v>
      </c>
      <c r="D24" s="35" t="n">
        <v>0.04533333333333334</v>
      </c>
      <c r="E24" s="35" t="n">
        <v>0.04241666666666667</v>
      </c>
      <c r="F24" s="35" t="n">
        <v>0.0395</v>
      </c>
      <c r="H24" t="inlineStr">
        <is>
          <t>Capex modeled at 4.0% of revenue in FY2031, gliding from the 5.1% recent historical average (vs. 4.8% in the most recent year) toward 4.0% - the historical D&amp;A % of revenue - by FY2031, reflecting the standard DCF assumption that reinvestment normalizes to roughly track depreciation once the business settles into the stable long-run growth priced into the terminal value.</t>
        </is>
      </c>
    </row>
    <row r="25">
      <c r="A25" s="5" t="inlineStr">
        <is>
          <t>Capex</t>
        </is>
      </c>
      <c r="B25" s="7">
        <f>B5*B24</f>
        <v/>
      </c>
      <c r="C25" s="7">
        <f>C5*C24</f>
        <v/>
      </c>
      <c r="D25" s="7">
        <f>D5*D24</f>
        <v/>
      </c>
      <c r="E25" s="7">
        <f>E5*E24</f>
        <v/>
      </c>
      <c r="F25" s="7">
        <f>F5*F24</f>
        <v/>
      </c>
    </row>
    <row r="26">
      <c r="A26" s="5" t="inlineStr">
        <is>
          <t>NWC % of Revenue</t>
        </is>
      </c>
      <c r="B26" s="35" t="n">
        <v>0.1005833333333333</v>
      </c>
      <c r="C26" s="35" t="n">
        <v>0.1005833333333333</v>
      </c>
      <c r="D26" s="35" t="n">
        <v>0.1005833333333333</v>
      </c>
      <c r="E26" s="35" t="n">
        <v>0.1005833333333333</v>
      </c>
      <c r="F26" s="35" t="n">
        <v>0.1005833333333333</v>
      </c>
      <c r="H26" t="inlineStr">
        <is>
          <t>Net working capital modeled at the 10.1% historical average of revenue, held constant given no evidence of a structural change in payment terms.</t>
        </is>
      </c>
    </row>
    <row r="27">
      <c r="A27" s="5" t="inlineStr">
        <is>
          <t>Net Working Capital</t>
        </is>
      </c>
      <c r="B27" s="7">
        <f>B5*B26</f>
        <v/>
      </c>
      <c r="C27" s="7">
        <f>C5*C26</f>
        <v/>
      </c>
      <c r="D27" s="7">
        <f>D5*D26</f>
        <v/>
      </c>
      <c r="E27" s="7">
        <f>E5*E26</f>
        <v/>
      </c>
      <c r="F27" s="7">
        <f>F5*F26</f>
        <v/>
      </c>
    </row>
    <row r="28">
      <c r="A28" s="5" t="inlineStr">
        <is>
          <t>Change in NWC</t>
        </is>
      </c>
      <c r="B28" s="7">
        <f>B27-'Historical BS'!G$27</f>
        <v/>
      </c>
      <c r="C28" s="7">
        <f>C27-B27</f>
        <v/>
      </c>
      <c r="D28" s="7">
        <f>D27-C27</f>
        <v/>
      </c>
      <c r="E28" s="7">
        <f>E27-D27</f>
        <v/>
      </c>
      <c r="F28" s="7">
        <f>F27-E27</f>
        <v/>
      </c>
    </row>
    <row r="29">
      <c r="A29" s="5" t="inlineStr">
        <is>
          <t>FCFF = NOPAT + D&amp;A − Capex − ΔNWC</t>
        </is>
      </c>
      <c r="B29" s="7">
        <f>B23+B18-B25-B28</f>
        <v/>
      </c>
      <c r="C29" s="7">
        <f>C23+C18-C25-C28</f>
        <v/>
      </c>
      <c r="D29" s="7">
        <f>D23+D18-D25-D28</f>
        <v/>
      </c>
      <c r="E29" s="7">
        <f>E23+E18-E25-E28</f>
        <v/>
      </c>
      <c r="F29" s="7">
        <f>F23+F18-F25-F28</f>
        <v/>
      </c>
    </row>
    <row r="30">
      <c r="A30" s="5" t="inlineStr">
        <is>
          <t>Discount Period (n)</t>
        </is>
      </c>
      <c r="B30" s="36" t="inlineStr">
        <is>
          <t>1</t>
        </is>
      </c>
      <c r="C30" s="36" t="inlineStr">
        <is>
          <t>2</t>
        </is>
      </c>
      <c r="D30" s="36" t="inlineStr">
        <is>
          <t>3</t>
        </is>
      </c>
      <c r="E30" s="36" t="inlineStr">
        <is>
          <t>4</t>
        </is>
      </c>
      <c r="F30" s="36" t="inlineStr">
        <is>
          <t>5</t>
        </is>
      </c>
    </row>
    <row r="31">
      <c r="A31" s="5" t="inlineStr">
        <is>
          <t>Discount Factor = 1/(1+WACC)^n</t>
        </is>
      </c>
      <c r="B31" s="37">
        <f>1/(1+WACC!$B$17)^B30</f>
        <v/>
      </c>
      <c r="C31" s="37">
        <f>1/(1+WACC!$B$17)^C30</f>
        <v/>
      </c>
      <c r="D31" s="37">
        <f>1/(1+WACC!$B$17)^D30</f>
        <v/>
      </c>
      <c r="E31" s="37">
        <f>1/(1+WACC!$B$17)^E30</f>
        <v/>
      </c>
      <c r="F31" s="37">
        <f>1/(1+WACC!$B$17)^F30</f>
        <v/>
      </c>
    </row>
    <row r="32">
      <c r="A32" s="5" t="inlineStr">
        <is>
          <t>PV of FCFF</t>
        </is>
      </c>
      <c r="B32" s="7">
        <f>B29*B31</f>
        <v/>
      </c>
      <c r="C32" s="7">
        <f>C29*C31</f>
        <v/>
      </c>
      <c r="D32" s="7">
        <f>D29*D31</f>
        <v/>
      </c>
      <c r="E32" s="7">
        <f>E29*E31</f>
        <v/>
      </c>
      <c r="F32" s="7">
        <f>F29*F31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A1FB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2" customHeight="1">
      <c r="A1" s="1" t="inlineStr">
        <is>
          <t>Discounted Cash Flow - Base Case</t>
        </is>
      </c>
      <c r="B1" s="2" t="n"/>
    </row>
    <row r="3">
      <c r="A3" s="5" t="inlineStr">
        <is>
          <t>Sum of PV of Explicit-Period FCFF</t>
        </is>
      </c>
      <c r="B3" s="7">
        <f>SUMPRODUCT('Forecast &amp; FCFF (Base)'!B29:F29,'Forecast &amp; FCFF (Base)'!B31:F31)</f>
        <v/>
      </c>
    </row>
    <row r="4">
      <c r="A4" s="5" t="inlineStr">
        <is>
          <t>Terminal Growth Rate (g)</t>
        </is>
      </c>
      <c r="B4" s="35" t="n">
        <v>0.03</v>
      </c>
    </row>
    <row r="5">
      <c r="A5" s="5" t="inlineStr">
        <is>
          <t>Terminal FCFF = Final-Year FCFF × (1+g)</t>
        </is>
      </c>
      <c r="B5" s="7">
        <f>'Forecast &amp; FCFF (Base)'!F29*(1+B4)</f>
        <v/>
      </c>
    </row>
    <row r="6">
      <c r="A6" s="5" t="inlineStr">
        <is>
          <t>Terminal Value (Gordon Growth) = TFCFF/(WACC−g)</t>
        </is>
      </c>
      <c r="B6" s="7">
        <f>B5/(WACC!$B$17-B4)</f>
        <v/>
      </c>
    </row>
    <row r="7">
      <c r="A7" s="5" t="inlineStr">
        <is>
          <t>PV of Terminal Value</t>
        </is>
      </c>
      <c r="B7" s="7">
        <f>B6*'Forecast &amp; FCFF (Base)'!F31</f>
        <v/>
      </c>
    </row>
    <row r="8">
      <c r="A8" s="5" t="inlineStr">
        <is>
          <t>Enterprise Value</t>
        </is>
      </c>
      <c r="B8" s="7">
        <f>B3+B7</f>
        <v/>
      </c>
    </row>
    <row r="9">
      <c r="A9" s="5" t="inlineStr">
        <is>
          <t>Terminal Value % of Enterprise Value</t>
        </is>
      </c>
      <c r="B9" s="19">
        <f>IFERROR(B7/B8,0)</f>
        <v/>
      </c>
    </row>
    <row r="10">
      <c r="A10" s="5" t="inlineStr">
        <is>
          <t>Exit Multiple (x EBITDA, cross-check)</t>
        </is>
      </c>
      <c r="B10" s="38" t="n">
        <v>14</v>
      </c>
    </row>
    <row r="11">
      <c r="A11" s="5" t="inlineStr">
        <is>
          <t>Terminal Value (Exit Multiple, memo)</t>
        </is>
      </c>
      <c r="B11" s="7">
        <f>'Forecast &amp; FCFF (Base)'!F15*B10</f>
        <v/>
      </c>
    </row>
    <row r="13" ht="20" customHeight="1">
      <c r="A13" s="4" t="inlineStr">
        <is>
          <t>Enterprise Value → Equity Value Bridge</t>
        </is>
      </c>
      <c r="B13" s="4" t="n"/>
    </row>
    <row r="14">
      <c r="A14" s="5" t="inlineStr">
        <is>
          <t>Enterprise Value</t>
        </is>
      </c>
      <c r="B14" s="7">
        <f>B8</f>
        <v/>
      </c>
    </row>
    <row r="15">
      <c r="A15" s="5" t="inlineStr">
        <is>
          <t>+ Cash &amp; Investments</t>
        </is>
      </c>
      <c r="B15" s="24" t="n">
        <v>869.5717999999997</v>
      </c>
    </row>
    <row r="16">
      <c r="A16" s="5" t="inlineStr">
        <is>
          <t>− Total Debt</t>
        </is>
      </c>
      <c r="B16" s="24" t="n">
        <v>-215</v>
      </c>
    </row>
    <row r="17">
      <c r="A17" s="5" t="inlineStr">
        <is>
          <t>− Lease Liabilities</t>
        </is>
      </c>
      <c r="B17" s="24" t="n">
        <v>-40</v>
      </c>
    </row>
    <row r="18">
      <c r="A18" s="5" t="inlineStr">
        <is>
          <t>− Minority Interest</t>
        </is>
      </c>
      <c r="B18" s="24" t="n">
        <v>-0</v>
      </c>
    </row>
    <row r="19">
      <c r="A19" s="5" t="inlineStr">
        <is>
          <t>− Preferred Stock</t>
        </is>
      </c>
      <c r="B19" s="24" t="n">
        <v>-0</v>
      </c>
    </row>
    <row r="20">
      <c r="A20" s="5" t="inlineStr">
        <is>
          <t>Equity Value</t>
        </is>
      </c>
      <c r="B20" s="7">
        <f>B14+SUM(B15:B19)</f>
        <v/>
      </c>
    </row>
    <row r="21">
      <c r="A21" s="5" t="inlineStr">
        <is>
          <t>Diluted Shares Outstanding</t>
        </is>
      </c>
      <c r="B21" s="24" t="n">
        <v>115</v>
      </c>
    </row>
    <row r="22">
      <c r="A22" s="32" t="inlineStr">
        <is>
          <t>Equity Value per Share</t>
        </is>
      </c>
      <c r="B22" s="39">
        <f>IFERROR(B20/B21,0)</f>
        <v/>
      </c>
    </row>
    <row r="23">
      <c r="A23" s="5" t="inlineStr">
        <is>
          <t>Current Share Price</t>
        </is>
      </c>
      <c r="B23" s="40" t="n">
        <v>62.5</v>
      </c>
    </row>
    <row r="24">
      <c r="A24" s="5" t="inlineStr">
        <is>
          <t>Upside / (Downside) %</t>
        </is>
      </c>
      <c r="B24" s="19">
        <f>IFERROR(B22/B23-1,0)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F4444"/>
    <outlinePr summaryBelow="1" summaryRight="1"/>
    <pageSetUpPr/>
  </sheetPr>
  <dimension ref="A1:H3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90" customWidth="1" min="8" max="8"/>
  </cols>
  <sheetData>
    <row r="1" ht="22" customHeight="1">
      <c r="A1" s="1" t="inlineStr">
        <is>
          <t>Forecast &amp; FCFF</t>
        </is>
      </c>
      <c r="B1" s="2" t="n"/>
      <c r="H1" s="34" t="inlineStr">
        <is>
          <t>Rationale (final forecast year)</t>
        </is>
      </c>
    </row>
    <row r="2">
      <c r="A2" s="41" t="inlineStr">
        <is>
          <t>Scenario Cost of Capital (this tab's own WACC, applied to discounting below)</t>
        </is>
      </c>
    </row>
    <row r="3">
      <c r="A3" s="5" t="inlineStr">
        <is>
          <t>Base-Case WACC (live link)</t>
        </is>
      </c>
      <c r="B3" s="26">
        <f>WACC!$B$17</f>
        <v/>
      </c>
    </row>
    <row r="4">
      <c r="A4" s="5" t="inlineStr">
        <is>
          <t>Scenario WACC = Base WACC + Delta</t>
        </is>
      </c>
      <c r="B4" s="26">
        <f>B3+(0.01)</f>
        <v/>
      </c>
    </row>
    <row r="6" ht="18" customHeight="1">
      <c r="A6" s="8" t="inlineStr">
        <is>
          <t>Metric</t>
        </is>
      </c>
      <c r="B6" s="8" t="inlineStr">
        <is>
          <t>FY2027</t>
        </is>
      </c>
      <c r="C6" s="8" t="inlineStr">
        <is>
          <t>FY2028</t>
        </is>
      </c>
      <c r="D6" s="8" t="inlineStr">
        <is>
          <t>FY2029</t>
        </is>
      </c>
      <c r="E6" s="8" t="inlineStr">
        <is>
          <t>FY2030</t>
        </is>
      </c>
      <c r="F6" s="8" t="inlineStr">
        <is>
          <t>FY2031</t>
        </is>
      </c>
    </row>
    <row r="7">
      <c r="A7" s="5" t="inlineStr">
        <is>
          <t>Revenue Growth %</t>
        </is>
      </c>
      <c r="B7" s="35" t="n">
        <v>0.1239665471923537</v>
      </c>
      <c r="C7" s="35" t="n">
        <v>0.09797491039426527</v>
      </c>
      <c r="D7" s="35" t="n">
        <v>0.07198327359617684</v>
      </c>
      <c r="E7" s="35" t="n">
        <v>0.04599163679808842</v>
      </c>
      <c r="F7" s="35" t="n">
        <v>0.02000000000000001</v>
      </c>
      <c r="H7" t="inlineStr">
        <is>
          <t>[Bear Case] FY2031 revenue growth is assumed at 4.0%, glided from the recent 14.4% run-rate toward a 4.0% long-term normalized rate over the 5-year forecast horizon (vs. 15.3% historical 5-year CAGR), reflecting expected growth normalization. Adjusted by -2.0% vs. Base Case.</t>
        </is>
      </c>
    </row>
    <row r="8">
      <c r="A8" s="5" t="inlineStr">
        <is>
          <t>Revenue</t>
        </is>
      </c>
      <c r="B8" s="7">
        <f>'Historical IS'!G$2*(1+B7)</f>
        <v/>
      </c>
      <c r="C8" s="7">
        <f>B8*(1+C7)</f>
        <v/>
      </c>
      <c r="D8" s="7">
        <f>C8*(1+D7)</f>
        <v/>
      </c>
      <c r="E8" s="7">
        <f>D8*(1+E7)</f>
        <v/>
      </c>
      <c r="F8" s="7">
        <f>E8*(1+F7)</f>
        <v/>
      </c>
    </row>
    <row r="9">
      <c r="A9" s="5" t="inlineStr">
        <is>
          <t>Gross Margin %</t>
        </is>
      </c>
      <c r="B9" s="35" t="n">
        <v>0.725</v>
      </c>
      <c r="C9" s="35" t="n">
        <v>0.725</v>
      </c>
      <c r="D9" s="35" t="n">
        <v>0.725</v>
      </c>
      <c r="E9" s="35" t="n">
        <v>0.725</v>
      </c>
      <c r="F9" s="35" t="n">
        <v>0.725</v>
      </c>
      <c r="H9" t="inlineStr">
        <is>
          <t>FY2031 gross margin held at the last actual level of 72.5% (FY2026), consistent with the historical average of 71.2%.</t>
        </is>
      </c>
    </row>
    <row r="10">
      <c r="A10" s="5" t="inlineStr">
        <is>
          <t>Gross Profit</t>
        </is>
      </c>
      <c r="B10" s="7">
        <f>B8*B9</f>
        <v/>
      </c>
      <c r="C10" s="7">
        <f>C8*C9</f>
        <v/>
      </c>
      <c r="D10" s="7">
        <f>D8*D9</f>
        <v/>
      </c>
      <c r="E10" s="7">
        <f>E8*E9</f>
        <v/>
      </c>
      <c r="F10" s="7">
        <f>F8*F9</f>
        <v/>
      </c>
    </row>
    <row r="11">
      <c r="A11" s="5" t="inlineStr">
        <is>
          <t>R&amp;D % of Revenue</t>
        </is>
      </c>
      <c r="B11" s="35" t="n">
        <v>0.1416666666666667</v>
      </c>
      <c r="C11" s="35" t="n">
        <v>0.1416666666666667</v>
      </c>
      <c r="D11" s="35" t="n">
        <v>0.1416666666666667</v>
      </c>
      <c r="E11" s="35" t="n">
        <v>0.1416666666666667</v>
      </c>
      <c r="F11" s="35" t="n">
        <v>0.1416666666666667</v>
      </c>
      <c r="H11" t="inlineStr">
        <is>
          <t>[Bear Case] R&amp;D % of Revenue modeled at 13.5% of revenue in FY2031, gliding from 13.5% (FY2026 actual) toward 13.5% as the model assumes operating leverage improves EBITDA margin toward 28.2% by FY2031. Adjusted by +0.7% vs. Base Case.</t>
        </is>
      </c>
    </row>
    <row r="12">
      <c r="A12" s="5" t="inlineStr">
        <is>
          <t>S&amp;M % of Revenue</t>
        </is>
      </c>
      <c r="B12" s="35" t="n">
        <v>0.2316666666666667</v>
      </c>
      <c r="C12" s="35" t="n">
        <v>0.2316666666666667</v>
      </c>
      <c r="D12" s="35" t="n">
        <v>0.2316666666666667</v>
      </c>
      <c r="E12" s="35" t="n">
        <v>0.2316666666666667</v>
      </c>
      <c r="F12" s="35" t="n">
        <v>0.2316666666666667</v>
      </c>
      <c r="H12" t="inlineStr">
        <is>
          <t>[Bear Case] S&amp;M % of Revenue modeled at 22.5% of revenue in FY2031, gliding from 22.5% (FY2026 actual) toward 22.5% as the model assumes operating leverage improves EBITDA margin toward 28.2% by FY2031. Adjusted by +0.7% vs. Base Case.</t>
        </is>
      </c>
    </row>
    <row r="13">
      <c r="A13" s="5" t="inlineStr">
        <is>
          <t>G&amp;A % of Revenue</t>
        </is>
      </c>
      <c r="B13" s="35" t="n">
        <v>0.08966666666666667</v>
      </c>
      <c r="C13" s="35" t="n">
        <v>0.08966666666666667</v>
      </c>
      <c r="D13" s="35" t="n">
        <v>0.08966666666666667</v>
      </c>
      <c r="E13" s="35" t="n">
        <v>0.08966666666666667</v>
      </c>
      <c r="F13" s="35" t="n">
        <v>0.08966666666666667</v>
      </c>
      <c r="H13" t="inlineStr">
        <is>
          <t>[Bear Case] G&amp;A % of Revenue modeled at 8.3% of revenue in FY2031, gliding from 8.3% (FY2026 actual) toward 8.3% as the model assumes operating leverage improves EBITDA margin toward 28.2% by FY2031. Adjusted by +0.7% vs. Base Case.</t>
        </is>
      </c>
    </row>
    <row r="14">
      <c r="A14" s="5" t="inlineStr">
        <is>
          <t>R&amp;D</t>
        </is>
      </c>
      <c r="B14" s="7">
        <f>B8*B11</f>
        <v/>
      </c>
      <c r="C14" s="7">
        <f>C8*C11</f>
        <v/>
      </c>
      <c r="D14" s="7">
        <f>D8*D11</f>
        <v/>
      </c>
      <c r="E14" s="7">
        <f>E8*E11</f>
        <v/>
      </c>
      <c r="F14" s="7">
        <f>F8*F11</f>
        <v/>
      </c>
    </row>
    <row r="15">
      <c r="A15" s="5" t="inlineStr">
        <is>
          <t>S&amp;M</t>
        </is>
      </c>
      <c r="B15" s="7">
        <f>B8*B12</f>
        <v/>
      </c>
      <c r="C15" s="7">
        <f>C8*C12</f>
        <v/>
      </c>
      <c r="D15" s="7">
        <f>D8*D12</f>
        <v/>
      </c>
      <c r="E15" s="7">
        <f>E8*E12</f>
        <v/>
      </c>
      <c r="F15" s="7">
        <f>F8*F12</f>
        <v/>
      </c>
    </row>
    <row r="16">
      <c r="A16" s="5" t="inlineStr">
        <is>
          <t>G&amp;A</t>
        </is>
      </c>
      <c r="B16" s="7">
        <f>B8*B13</f>
        <v/>
      </c>
      <c r="C16" s="7">
        <f>C8*C13</f>
        <v/>
      </c>
      <c r="D16" s="7">
        <f>D8*D13</f>
        <v/>
      </c>
      <c r="E16" s="7">
        <f>E8*E13</f>
        <v/>
      </c>
      <c r="F16" s="7">
        <f>F8*F13</f>
        <v/>
      </c>
    </row>
    <row r="17">
      <c r="A17" s="5" t="inlineStr">
        <is>
          <t>Total Opex (ex D&amp;A)</t>
        </is>
      </c>
      <c r="B17" s="7">
        <f>SUM(B14:B16)</f>
        <v/>
      </c>
      <c r="C17" s="7">
        <f>SUM(C14:C16)</f>
        <v/>
      </c>
      <c r="D17" s="7">
        <f>SUM(D14:D16)</f>
        <v/>
      </c>
      <c r="E17" s="7">
        <f>SUM(E14:E16)</f>
        <v/>
      </c>
      <c r="F17" s="7">
        <f>SUM(F14:F16)</f>
        <v/>
      </c>
    </row>
    <row r="18">
      <c r="A18" s="5" t="inlineStr">
        <is>
          <t>EBITDA</t>
        </is>
      </c>
      <c r="B18" s="7">
        <f>B10-B17</f>
        <v/>
      </c>
      <c r="C18" s="7">
        <f>C10-C17</f>
        <v/>
      </c>
      <c r="D18" s="7">
        <f>D10-D17</f>
        <v/>
      </c>
      <c r="E18" s="7">
        <f>E10-E17</f>
        <v/>
      </c>
      <c r="F18" s="7">
        <f>F10-F17</f>
        <v/>
      </c>
    </row>
    <row r="19">
      <c r="A19" s="5" t="inlineStr">
        <is>
          <t>EBITDA Margin %</t>
        </is>
      </c>
      <c r="B19" s="19">
        <f>IFERROR(B18/B8,0)</f>
        <v/>
      </c>
      <c r="C19" s="19">
        <f>IFERROR(C18/C8,0)</f>
        <v/>
      </c>
      <c r="D19" s="19">
        <f>IFERROR(D18/D8,0)</f>
        <v/>
      </c>
      <c r="E19" s="19">
        <f>IFERROR(E18/E8,0)</f>
        <v/>
      </c>
      <c r="F19" s="19">
        <f>IFERROR(F18/F8,0)</f>
        <v/>
      </c>
    </row>
    <row r="20">
      <c r="A20" s="5" t="inlineStr">
        <is>
          <t>D&amp;A % of Revenue</t>
        </is>
      </c>
      <c r="B20" s="35" t="n">
        <v>0.0395</v>
      </c>
      <c r="C20" s="35" t="n">
        <v>0.0395</v>
      </c>
      <c r="D20" s="35" t="n">
        <v>0.0395</v>
      </c>
      <c r="E20" s="35" t="n">
        <v>0.0395</v>
      </c>
      <c r="F20" s="35" t="n">
        <v>0.0395</v>
      </c>
      <c r="H20" t="inlineStr">
        <is>
          <t>D&amp;A modeled at the 4.0% historical average of revenue, held flat given no disclosed capex step-change.</t>
        </is>
      </c>
    </row>
    <row r="21">
      <c r="A21" s="5" t="inlineStr">
        <is>
          <t>D&amp;A</t>
        </is>
      </c>
      <c r="B21" s="7">
        <f>B8*B20</f>
        <v/>
      </c>
      <c r="C21" s="7">
        <f>C8*C20</f>
        <v/>
      </c>
      <c r="D21" s="7">
        <f>D8*D20</f>
        <v/>
      </c>
      <c r="E21" s="7">
        <f>E8*E20</f>
        <v/>
      </c>
      <c r="F21" s="7">
        <f>F8*F20</f>
        <v/>
      </c>
    </row>
    <row r="22">
      <c r="A22" s="5" t="inlineStr">
        <is>
          <t>EBIT</t>
        </is>
      </c>
      <c r="B22" s="7">
        <f>B18-B21</f>
        <v/>
      </c>
      <c r="C22" s="7">
        <f>C18-C21</f>
        <v/>
      </c>
      <c r="D22" s="7">
        <f>D18-D21</f>
        <v/>
      </c>
      <c r="E22" s="7">
        <f>E18-E21</f>
        <v/>
      </c>
      <c r="F22" s="7">
        <f>F18-F21</f>
        <v/>
      </c>
    </row>
    <row r="23">
      <c r="A23" s="5" t="inlineStr">
        <is>
          <t>EBIT Margin %</t>
        </is>
      </c>
      <c r="B23" s="19">
        <f>IFERROR(B22/B8,0)</f>
        <v/>
      </c>
      <c r="C23" s="19">
        <f>IFERROR(C22/C8,0)</f>
        <v/>
      </c>
      <c r="D23" s="19">
        <f>IFERROR(D22/D8,0)</f>
        <v/>
      </c>
      <c r="E23" s="19">
        <f>IFERROR(E22/E8,0)</f>
        <v/>
      </c>
      <c r="F23" s="19">
        <f>IFERROR(F22/F8,0)</f>
        <v/>
      </c>
    </row>
    <row r="24">
      <c r="A24" s="5" t="inlineStr">
        <is>
          <t>Tax Rate %</t>
        </is>
      </c>
      <c r="B24" s="35" t="n">
        <v>0.24</v>
      </c>
      <c r="C24" s="35" t="n">
        <v>0.24</v>
      </c>
      <c r="D24" s="35" t="n">
        <v>0.24</v>
      </c>
      <c r="E24" s="35" t="n">
        <v>0.24</v>
      </c>
      <c r="F24" s="35" t="n">
        <v>0.24</v>
      </c>
      <c r="H24" t="inlineStr">
        <is>
          <t>Tax rate held at the 24.0% historical average effective rate.</t>
        </is>
      </c>
    </row>
    <row r="25">
      <c r="A25" s="5" t="inlineStr">
        <is>
          <t>Taxes on EBIT</t>
        </is>
      </c>
      <c r="B25" s="7">
        <f>MAX(B22,0)*B24</f>
        <v/>
      </c>
      <c r="C25" s="7">
        <f>MAX(C22,0)*C24</f>
        <v/>
      </c>
      <c r="D25" s="7">
        <f>MAX(D22,0)*D24</f>
        <v/>
      </c>
      <c r="E25" s="7">
        <f>MAX(E22,0)*E24</f>
        <v/>
      </c>
      <c r="F25" s="7">
        <f>MAX(F22,0)*F24</f>
        <v/>
      </c>
    </row>
    <row r="26">
      <c r="A26" s="5" t="inlineStr">
        <is>
          <t>NOPAT</t>
        </is>
      </c>
      <c r="B26" s="7">
        <f>B22-B25</f>
        <v/>
      </c>
      <c r="C26" s="7">
        <f>C22-C25</f>
        <v/>
      </c>
      <c r="D26" s="7">
        <f>D22-D25</f>
        <v/>
      </c>
      <c r="E26" s="7">
        <f>E22-E25</f>
        <v/>
      </c>
      <c r="F26" s="7">
        <f>F22-F25</f>
        <v/>
      </c>
    </row>
    <row r="27">
      <c r="A27" s="5" t="inlineStr">
        <is>
          <t>Capex % of Revenue</t>
        </is>
      </c>
      <c r="B27" s="35" t="n">
        <v>0.05616666666666666</v>
      </c>
      <c r="C27" s="35" t="n">
        <v>0.05325</v>
      </c>
      <c r="D27" s="35" t="n">
        <v>0.05033333333333333</v>
      </c>
      <c r="E27" s="35" t="n">
        <v>0.04741666666666666</v>
      </c>
      <c r="F27" s="35" t="n">
        <v>0.0445</v>
      </c>
      <c r="H27" t="inlineStr">
        <is>
          <t>[Bear Case] Capex modeled at 4.0% of revenue in FY2031, gliding from the 5.1% recent historical average (vs. 4.8% in the most recent year) toward 4.0% - the historical D&amp;A % of revenue - by FY2031, reflecting the standard DCF assumption that reinvestment normalizes to roughly track depreciation once the business settles into the stable long-run growth priced into the terminal value. Adjusted by +0.5% vs. Base Case.</t>
        </is>
      </c>
    </row>
    <row r="28">
      <c r="A28" s="5" t="inlineStr">
        <is>
          <t>Capex</t>
        </is>
      </c>
      <c r="B28" s="7">
        <f>B8*B27</f>
        <v/>
      </c>
      <c r="C28" s="7">
        <f>C8*C27</f>
        <v/>
      </c>
      <c r="D28" s="7">
        <f>D8*D27</f>
        <v/>
      </c>
      <c r="E28" s="7">
        <f>E8*E27</f>
        <v/>
      </c>
      <c r="F28" s="7">
        <f>F8*F27</f>
        <v/>
      </c>
    </row>
    <row r="29">
      <c r="A29" s="5" t="inlineStr">
        <is>
          <t>NWC % of Revenue</t>
        </is>
      </c>
      <c r="B29" s="35" t="n">
        <v>0.1055833333333333</v>
      </c>
      <c r="C29" s="35" t="n">
        <v>0.1055833333333333</v>
      </c>
      <c r="D29" s="35" t="n">
        <v>0.1055833333333333</v>
      </c>
      <c r="E29" s="35" t="n">
        <v>0.1055833333333333</v>
      </c>
      <c r="F29" s="35" t="n">
        <v>0.1055833333333333</v>
      </c>
      <c r="H29" t="inlineStr">
        <is>
          <t>[Bear Case] Net working capital modeled at the 10.1% historical average of revenue, held constant given no evidence of a structural change in payment terms. Adjusted by +0.5% vs. Base Case.</t>
        </is>
      </c>
    </row>
    <row r="30">
      <c r="A30" s="5" t="inlineStr">
        <is>
          <t>Net Working Capital</t>
        </is>
      </c>
      <c r="B30" s="7">
        <f>B8*B29</f>
        <v/>
      </c>
      <c r="C30" s="7">
        <f>C8*C29</f>
        <v/>
      </c>
      <c r="D30" s="7">
        <f>D8*D29</f>
        <v/>
      </c>
      <c r="E30" s="7">
        <f>E8*E29</f>
        <v/>
      </c>
      <c r="F30" s="7">
        <f>F8*F29</f>
        <v/>
      </c>
    </row>
    <row r="31">
      <c r="A31" s="5" t="inlineStr">
        <is>
          <t>Change in NWC</t>
        </is>
      </c>
      <c r="B31" s="7">
        <f>B30-'Historical BS'!G$27</f>
        <v/>
      </c>
      <c r="C31" s="7">
        <f>C30-B30</f>
        <v/>
      </c>
      <c r="D31" s="7">
        <f>D30-C30</f>
        <v/>
      </c>
      <c r="E31" s="7">
        <f>E30-D30</f>
        <v/>
      </c>
      <c r="F31" s="7">
        <f>F30-E30</f>
        <v/>
      </c>
    </row>
    <row r="32">
      <c r="A32" s="5" t="inlineStr">
        <is>
          <t>FCFF = NOPAT + D&amp;A − Capex − ΔNWC</t>
        </is>
      </c>
      <c r="B32" s="7">
        <f>B26+B21-B28-B31</f>
        <v/>
      </c>
      <c r="C32" s="7">
        <f>C26+C21-C28-C31</f>
        <v/>
      </c>
      <c r="D32" s="7">
        <f>D26+D21-D28-D31</f>
        <v/>
      </c>
      <c r="E32" s="7">
        <f>E26+E21-E28-E31</f>
        <v/>
      </c>
      <c r="F32" s="7">
        <f>F26+F21-F28-F31</f>
        <v/>
      </c>
    </row>
    <row r="33">
      <c r="A33" s="5" t="inlineStr">
        <is>
          <t>Discount Period (n)</t>
        </is>
      </c>
      <c r="B33" s="36" t="inlineStr">
        <is>
          <t>1</t>
        </is>
      </c>
      <c r="C33" s="36" t="inlineStr">
        <is>
          <t>2</t>
        </is>
      </c>
      <c r="D33" s="36" t="inlineStr">
        <is>
          <t>3</t>
        </is>
      </c>
      <c r="E33" s="36" t="inlineStr">
        <is>
          <t>4</t>
        </is>
      </c>
      <c r="F33" s="36" t="inlineStr">
        <is>
          <t>5</t>
        </is>
      </c>
    </row>
    <row r="34">
      <c r="A34" s="5" t="inlineStr">
        <is>
          <t>Discount Factor = 1/(1+WACC)^n</t>
        </is>
      </c>
      <c r="B34" s="37">
        <f>1/(1+$B$4)^B33</f>
        <v/>
      </c>
      <c r="C34" s="37">
        <f>1/(1+$B$4)^C33</f>
        <v/>
      </c>
      <c r="D34" s="37">
        <f>1/(1+$B$4)^D33</f>
        <v/>
      </c>
      <c r="E34" s="37">
        <f>1/(1+$B$4)^E33</f>
        <v/>
      </c>
      <c r="F34" s="37">
        <f>1/(1+$B$4)^F33</f>
        <v/>
      </c>
    </row>
    <row r="35">
      <c r="A35" s="5" t="inlineStr">
        <is>
          <t>PV of FCFF</t>
        </is>
      </c>
      <c r="B35" s="7">
        <f>B32*B34</f>
        <v/>
      </c>
      <c r="C35" s="7">
        <f>C32*C34</f>
        <v/>
      </c>
      <c r="D35" s="7">
        <f>D32*D34</f>
        <v/>
      </c>
      <c r="E35" s="7">
        <f>E32*E34</f>
        <v/>
      </c>
      <c r="F35" s="7">
        <f>F32*F34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F4444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2" customHeight="1">
      <c r="A1" s="1" t="inlineStr">
        <is>
          <t>Discounted Cash Flow - Bear Case</t>
        </is>
      </c>
      <c r="B1" s="2" t="n"/>
    </row>
    <row r="3">
      <c r="A3" s="5" t="inlineStr">
        <is>
          <t>Sum of PV of Explicit-Period FCFF</t>
        </is>
      </c>
      <c r="B3" s="7">
        <f>SUMPRODUCT('Forecast &amp; FCFF (Bear)'!B32:F32,'Forecast &amp; FCFF (Bear)'!B34:F34)</f>
        <v/>
      </c>
    </row>
    <row r="4">
      <c r="A4" s="5" t="inlineStr">
        <is>
          <t>Base-Case Terminal g (live link) + Scenario Delta</t>
        </is>
      </c>
      <c r="B4" s="26">
        <f>'DCF (Base)'!$B$4+(-0.005)</f>
        <v/>
      </c>
    </row>
    <row r="5">
      <c r="A5" s="5" t="inlineStr">
        <is>
          <t>Terminal FCFF = Final-Year FCFF × (1+g)</t>
        </is>
      </c>
      <c r="B5" s="7">
        <f>'Forecast &amp; FCFF (Bear)'!F32*(1+B4)</f>
        <v/>
      </c>
    </row>
    <row r="6">
      <c r="A6" s="5" t="inlineStr">
        <is>
          <t>Terminal Value (Gordon Growth) = TFCFF/(WACC−g)</t>
        </is>
      </c>
      <c r="B6" s="7">
        <f>B5/('Forecast &amp; FCFF (Bear)'!$B$4-B4)</f>
        <v/>
      </c>
    </row>
    <row r="7">
      <c r="A7" s="5" t="inlineStr">
        <is>
          <t>PV of Terminal Value</t>
        </is>
      </c>
      <c r="B7" s="7">
        <f>B6*'Forecast &amp; FCFF (Bear)'!F34</f>
        <v/>
      </c>
    </row>
    <row r="8">
      <c r="A8" s="5" t="inlineStr">
        <is>
          <t>Enterprise Value</t>
        </is>
      </c>
      <c r="B8" s="7">
        <f>B3+B7</f>
        <v/>
      </c>
    </row>
    <row r="9">
      <c r="A9" s="5" t="inlineStr">
        <is>
          <t>Terminal Value % of Enterprise Value</t>
        </is>
      </c>
      <c r="B9" s="19">
        <f>IFERROR(B7/B8,0)</f>
        <v/>
      </c>
    </row>
    <row r="10">
      <c r="A10" s="5" t="inlineStr">
        <is>
          <t>Exit Multiple (x EBITDA, cross-check)</t>
        </is>
      </c>
      <c r="B10" s="38" t="n">
        <v>14</v>
      </c>
    </row>
    <row r="11">
      <c r="A11" s="5" t="inlineStr">
        <is>
          <t>Terminal Value (Exit Multiple, memo)</t>
        </is>
      </c>
      <c r="B11" s="7">
        <f>'Forecast &amp; FCFF (Bear)'!F18*B10</f>
        <v/>
      </c>
    </row>
    <row r="13" ht="20" customHeight="1">
      <c r="A13" s="4" t="inlineStr">
        <is>
          <t>Enterprise Value → Equity Value Bridge</t>
        </is>
      </c>
      <c r="B13" s="4" t="n"/>
    </row>
    <row r="14">
      <c r="A14" s="5" t="inlineStr">
        <is>
          <t>Enterprise Value</t>
        </is>
      </c>
      <c r="B14" s="7">
        <f>B8</f>
        <v/>
      </c>
    </row>
    <row r="15">
      <c r="A15" s="5" t="inlineStr">
        <is>
          <t>+ Cash &amp; Investments</t>
        </is>
      </c>
      <c r="B15" s="24" t="n">
        <v>869.5717999999997</v>
      </c>
    </row>
    <row r="16">
      <c r="A16" s="5" t="inlineStr">
        <is>
          <t>− Total Debt</t>
        </is>
      </c>
      <c r="B16" s="24" t="n">
        <v>-215</v>
      </c>
    </row>
    <row r="17">
      <c r="A17" s="5" t="inlineStr">
        <is>
          <t>− Lease Liabilities</t>
        </is>
      </c>
      <c r="B17" s="24" t="n">
        <v>-40</v>
      </c>
    </row>
    <row r="18">
      <c r="A18" s="5" t="inlineStr">
        <is>
          <t>− Minority Interest</t>
        </is>
      </c>
      <c r="B18" s="24" t="n">
        <v>-0</v>
      </c>
    </row>
    <row r="19">
      <c r="A19" s="5" t="inlineStr">
        <is>
          <t>− Preferred Stock</t>
        </is>
      </c>
      <c r="B19" s="24" t="n">
        <v>-0</v>
      </c>
    </row>
    <row r="20">
      <c r="A20" s="5" t="inlineStr">
        <is>
          <t>Equity Value</t>
        </is>
      </c>
      <c r="B20" s="7">
        <f>B14+SUM(B15:B19)</f>
        <v/>
      </c>
    </row>
    <row r="21">
      <c r="A21" s="5" t="inlineStr">
        <is>
          <t>Diluted Shares Outstanding</t>
        </is>
      </c>
      <c r="B21" s="24" t="n">
        <v>115</v>
      </c>
    </row>
    <row r="22">
      <c r="A22" s="32" t="inlineStr">
        <is>
          <t>Equity Value per Share</t>
        </is>
      </c>
      <c r="B22" s="39">
        <f>IFERROR(B20/B21,0)</f>
        <v/>
      </c>
    </row>
    <row r="23">
      <c r="A23" s="5" t="inlineStr">
        <is>
          <t>Current Share Price</t>
        </is>
      </c>
      <c r="B23" s="40" t="n">
        <v>62.5</v>
      </c>
    </row>
    <row r="24">
      <c r="A24" s="5" t="inlineStr">
        <is>
          <t>Upside / (Downside) %</t>
        </is>
      </c>
      <c r="B24" s="19">
        <f>IFERROR(B22/B23-1,0)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2C55E"/>
    <outlinePr summaryBelow="1" summaryRight="1"/>
    <pageSetUpPr/>
  </sheetPr>
  <dimension ref="A1:H3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90" customWidth="1" min="8" max="8"/>
  </cols>
  <sheetData>
    <row r="1" ht="22" customHeight="1">
      <c r="A1" s="1" t="inlineStr">
        <is>
          <t>Forecast &amp; FCFF</t>
        </is>
      </c>
      <c r="B1" s="2" t="n"/>
      <c r="H1" s="34" t="inlineStr">
        <is>
          <t>Rationale (final forecast year)</t>
        </is>
      </c>
    </row>
    <row r="2">
      <c r="A2" s="41" t="inlineStr">
        <is>
          <t>Scenario Cost of Capital (this tab's own WACC, applied to discounting below)</t>
        </is>
      </c>
    </row>
    <row r="3">
      <c r="A3" s="5" t="inlineStr">
        <is>
          <t>Base-Case WACC (live link)</t>
        </is>
      </c>
      <c r="B3" s="26">
        <f>WACC!$B$17</f>
        <v/>
      </c>
    </row>
    <row r="4">
      <c r="A4" s="5" t="inlineStr">
        <is>
          <t>Scenario WACC = Base WACC + Delta</t>
        </is>
      </c>
      <c r="B4" s="26">
        <f>B3+(-0.005)</f>
        <v/>
      </c>
    </row>
    <row r="6" ht="18" customHeight="1">
      <c r="A6" s="8" t="inlineStr">
        <is>
          <t>Metric</t>
        </is>
      </c>
      <c r="B6" s="8" t="inlineStr">
        <is>
          <t>FY2027</t>
        </is>
      </c>
      <c r="C6" s="8" t="inlineStr">
        <is>
          <t>FY2028</t>
        </is>
      </c>
      <c r="D6" s="8" t="inlineStr">
        <is>
          <t>FY2029</t>
        </is>
      </c>
      <c r="E6" s="8" t="inlineStr">
        <is>
          <t>FY2030</t>
        </is>
      </c>
      <c r="F6" s="8" t="inlineStr">
        <is>
          <t>FY2031</t>
        </is>
      </c>
    </row>
    <row r="7">
      <c r="A7" s="5" t="inlineStr">
        <is>
          <t>Revenue Growth %</t>
        </is>
      </c>
      <c r="B7" s="35" t="n">
        <v>0.1639665471923537</v>
      </c>
      <c r="C7" s="35" t="n">
        <v>0.1379749103942653</v>
      </c>
      <c r="D7" s="35" t="n">
        <v>0.1119832735961769</v>
      </c>
      <c r="E7" s="35" t="n">
        <v>0.08599163679808842</v>
      </c>
      <c r="F7" s="35" t="n">
        <v>0.06000000000000001</v>
      </c>
      <c r="H7" t="inlineStr">
        <is>
          <t>[Bull Case] FY2031 revenue growth is assumed at 4.0%, glided from the recent 14.4% run-rate toward a 4.0% long-term normalized rate over the 5-year forecast horizon (vs. 15.3% historical 5-year CAGR), reflecting expected growth normalization. Adjusted by +2.0% vs. Base Case.</t>
        </is>
      </c>
    </row>
    <row r="8">
      <c r="A8" s="5" t="inlineStr">
        <is>
          <t>Revenue</t>
        </is>
      </c>
      <c r="B8" s="7">
        <f>'Historical IS'!G$2*(1+B7)</f>
        <v/>
      </c>
      <c r="C8" s="7">
        <f>B8*(1+C7)</f>
        <v/>
      </c>
      <c r="D8" s="7">
        <f>C8*(1+D7)</f>
        <v/>
      </c>
      <c r="E8" s="7">
        <f>D8*(1+E7)</f>
        <v/>
      </c>
      <c r="F8" s="7">
        <f>E8*(1+F7)</f>
        <v/>
      </c>
    </row>
    <row r="9">
      <c r="A9" s="5" t="inlineStr">
        <is>
          <t>Gross Margin %</t>
        </is>
      </c>
      <c r="B9" s="35" t="n">
        <v>0.725</v>
      </c>
      <c r="C9" s="35" t="n">
        <v>0.725</v>
      </c>
      <c r="D9" s="35" t="n">
        <v>0.725</v>
      </c>
      <c r="E9" s="35" t="n">
        <v>0.725</v>
      </c>
      <c r="F9" s="35" t="n">
        <v>0.725</v>
      </c>
      <c r="H9" t="inlineStr">
        <is>
          <t>FY2031 gross margin held at the last actual level of 72.5% (FY2026), consistent with the historical average of 71.2%.</t>
        </is>
      </c>
    </row>
    <row r="10">
      <c r="A10" s="5" t="inlineStr">
        <is>
          <t>Gross Profit</t>
        </is>
      </c>
      <c r="B10" s="7">
        <f>B8*B9</f>
        <v/>
      </c>
      <c r="C10" s="7">
        <f>C8*C9</f>
        <v/>
      </c>
      <c r="D10" s="7">
        <f>D8*D9</f>
        <v/>
      </c>
      <c r="E10" s="7">
        <f>E8*E9</f>
        <v/>
      </c>
      <c r="F10" s="7">
        <f>F8*F9</f>
        <v/>
      </c>
    </row>
    <row r="11">
      <c r="A11" s="5" t="inlineStr">
        <is>
          <t>R&amp;D % of Revenue</t>
        </is>
      </c>
      <c r="B11" s="35" t="n">
        <v>0.1283333333333334</v>
      </c>
      <c r="C11" s="35" t="n">
        <v>0.1283333333333334</v>
      </c>
      <c r="D11" s="35" t="n">
        <v>0.1283333333333334</v>
      </c>
      <c r="E11" s="35" t="n">
        <v>0.1283333333333334</v>
      </c>
      <c r="F11" s="35" t="n">
        <v>0.1283333333333334</v>
      </c>
      <c r="H11" t="inlineStr">
        <is>
          <t>[Bull Case] R&amp;D % of Revenue modeled at 13.5% of revenue in FY2031, gliding from 13.5% (FY2026 actual) toward 13.5% as the model assumes operating leverage improves EBITDA margin toward 28.2% by FY2031. Adjusted by -0.7% vs. Base Case.</t>
        </is>
      </c>
    </row>
    <row r="12">
      <c r="A12" s="5" t="inlineStr">
        <is>
          <t>S&amp;M % of Revenue</t>
        </is>
      </c>
      <c r="B12" s="35" t="n">
        <v>0.2183333333333334</v>
      </c>
      <c r="C12" s="35" t="n">
        <v>0.2183333333333334</v>
      </c>
      <c r="D12" s="35" t="n">
        <v>0.2183333333333334</v>
      </c>
      <c r="E12" s="35" t="n">
        <v>0.2183333333333334</v>
      </c>
      <c r="F12" s="35" t="n">
        <v>0.2183333333333334</v>
      </c>
      <c r="H12" t="inlineStr">
        <is>
          <t>[Bull Case] S&amp;M % of Revenue modeled at 22.5% of revenue in FY2031, gliding from 22.5% (FY2026 actual) toward 22.5% as the model assumes operating leverage improves EBITDA margin toward 28.2% by FY2031. Adjusted by -0.7% vs. Base Case.</t>
        </is>
      </c>
    </row>
    <row r="13">
      <c r="A13" s="5" t="inlineStr">
        <is>
          <t>G&amp;A % of Revenue</t>
        </is>
      </c>
      <c r="B13" s="35" t="n">
        <v>0.07633333333333334</v>
      </c>
      <c r="C13" s="35" t="n">
        <v>0.07633333333333334</v>
      </c>
      <c r="D13" s="35" t="n">
        <v>0.07633333333333334</v>
      </c>
      <c r="E13" s="35" t="n">
        <v>0.07633333333333334</v>
      </c>
      <c r="F13" s="35" t="n">
        <v>0.07633333333333334</v>
      </c>
      <c r="H13" t="inlineStr">
        <is>
          <t>[Bull Case] G&amp;A % of Revenue modeled at 8.3% of revenue in FY2031, gliding from 8.3% (FY2026 actual) toward 8.3% as the model assumes operating leverage improves EBITDA margin toward 28.2% by FY2031. Adjusted by -0.7% vs. Base Case.</t>
        </is>
      </c>
    </row>
    <row r="14">
      <c r="A14" s="5" t="inlineStr">
        <is>
          <t>R&amp;D</t>
        </is>
      </c>
      <c r="B14" s="7">
        <f>B8*B11</f>
        <v/>
      </c>
      <c r="C14" s="7">
        <f>C8*C11</f>
        <v/>
      </c>
      <c r="D14" s="7">
        <f>D8*D11</f>
        <v/>
      </c>
      <c r="E14" s="7">
        <f>E8*E11</f>
        <v/>
      </c>
      <c r="F14" s="7">
        <f>F8*F11</f>
        <v/>
      </c>
    </row>
    <row r="15">
      <c r="A15" s="5" t="inlineStr">
        <is>
          <t>S&amp;M</t>
        </is>
      </c>
      <c r="B15" s="7">
        <f>B8*B12</f>
        <v/>
      </c>
      <c r="C15" s="7">
        <f>C8*C12</f>
        <v/>
      </c>
      <c r="D15" s="7">
        <f>D8*D12</f>
        <v/>
      </c>
      <c r="E15" s="7">
        <f>E8*E12</f>
        <v/>
      </c>
      <c r="F15" s="7">
        <f>F8*F12</f>
        <v/>
      </c>
    </row>
    <row r="16">
      <c r="A16" s="5" t="inlineStr">
        <is>
          <t>G&amp;A</t>
        </is>
      </c>
      <c r="B16" s="7">
        <f>B8*B13</f>
        <v/>
      </c>
      <c r="C16" s="7">
        <f>C8*C13</f>
        <v/>
      </c>
      <c r="D16" s="7">
        <f>D8*D13</f>
        <v/>
      </c>
      <c r="E16" s="7">
        <f>E8*E13</f>
        <v/>
      </c>
      <c r="F16" s="7">
        <f>F8*F13</f>
        <v/>
      </c>
    </row>
    <row r="17">
      <c r="A17" s="5" t="inlineStr">
        <is>
          <t>Total Opex (ex D&amp;A)</t>
        </is>
      </c>
      <c r="B17" s="7">
        <f>SUM(B14:B16)</f>
        <v/>
      </c>
      <c r="C17" s="7">
        <f>SUM(C14:C16)</f>
        <v/>
      </c>
      <c r="D17" s="7">
        <f>SUM(D14:D16)</f>
        <v/>
      </c>
      <c r="E17" s="7">
        <f>SUM(E14:E16)</f>
        <v/>
      </c>
      <c r="F17" s="7">
        <f>SUM(F14:F16)</f>
        <v/>
      </c>
    </row>
    <row r="18">
      <c r="A18" s="5" t="inlineStr">
        <is>
          <t>EBITDA</t>
        </is>
      </c>
      <c r="B18" s="7">
        <f>B10-B17</f>
        <v/>
      </c>
      <c r="C18" s="7">
        <f>C10-C17</f>
        <v/>
      </c>
      <c r="D18" s="7">
        <f>D10-D17</f>
        <v/>
      </c>
      <c r="E18" s="7">
        <f>E10-E17</f>
        <v/>
      </c>
      <c r="F18" s="7">
        <f>F10-F17</f>
        <v/>
      </c>
    </row>
    <row r="19">
      <c r="A19" s="5" t="inlineStr">
        <is>
          <t>EBITDA Margin %</t>
        </is>
      </c>
      <c r="B19" s="19">
        <f>IFERROR(B18/B8,0)</f>
        <v/>
      </c>
      <c r="C19" s="19">
        <f>IFERROR(C18/C8,0)</f>
        <v/>
      </c>
      <c r="D19" s="19">
        <f>IFERROR(D18/D8,0)</f>
        <v/>
      </c>
      <c r="E19" s="19">
        <f>IFERROR(E18/E8,0)</f>
        <v/>
      </c>
      <c r="F19" s="19">
        <f>IFERROR(F18/F8,0)</f>
        <v/>
      </c>
    </row>
    <row r="20">
      <c r="A20" s="5" t="inlineStr">
        <is>
          <t>D&amp;A % of Revenue</t>
        </is>
      </c>
      <c r="B20" s="35" t="n">
        <v>0.0395</v>
      </c>
      <c r="C20" s="35" t="n">
        <v>0.0395</v>
      </c>
      <c r="D20" s="35" t="n">
        <v>0.0395</v>
      </c>
      <c r="E20" s="35" t="n">
        <v>0.0395</v>
      </c>
      <c r="F20" s="35" t="n">
        <v>0.0395</v>
      </c>
      <c r="H20" t="inlineStr">
        <is>
          <t>D&amp;A modeled at the 4.0% historical average of revenue, held flat given no disclosed capex step-change.</t>
        </is>
      </c>
    </row>
    <row r="21">
      <c r="A21" s="5" t="inlineStr">
        <is>
          <t>D&amp;A</t>
        </is>
      </c>
      <c r="B21" s="7">
        <f>B8*B20</f>
        <v/>
      </c>
      <c r="C21" s="7">
        <f>C8*C20</f>
        <v/>
      </c>
      <c r="D21" s="7">
        <f>D8*D20</f>
        <v/>
      </c>
      <c r="E21" s="7">
        <f>E8*E20</f>
        <v/>
      </c>
      <c r="F21" s="7">
        <f>F8*F20</f>
        <v/>
      </c>
    </row>
    <row r="22">
      <c r="A22" s="5" t="inlineStr">
        <is>
          <t>EBIT</t>
        </is>
      </c>
      <c r="B22" s="7">
        <f>B18-B21</f>
        <v/>
      </c>
      <c r="C22" s="7">
        <f>C18-C21</f>
        <v/>
      </c>
      <c r="D22" s="7">
        <f>D18-D21</f>
        <v/>
      </c>
      <c r="E22" s="7">
        <f>E18-E21</f>
        <v/>
      </c>
      <c r="F22" s="7">
        <f>F18-F21</f>
        <v/>
      </c>
    </row>
    <row r="23">
      <c r="A23" s="5" t="inlineStr">
        <is>
          <t>EBIT Margin %</t>
        </is>
      </c>
      <c r="B23" s="19">
        <f>IFERROR(B22/B8,0)</f>
        <v/>
      </c>
      <c r="C23" s="19">
        <f>IFERROR(C22/C8,0)</f>
        <v/>
      </c>
      <c r="D23" s="19">
        <f>IFERROR(D22/D8,0)</f>
        <v/>
      </c>
      <c r="E23" s="19">
        <f>IFERROR(E22/E8,0)</f>
        <v/>
      </c>
      <c r="F23" s="19">
        <f>IFERROR(F22/F8,0)</f>
        <v/>
      </c>
    </row>
    <row r="24">
      <c r="A24" s="5" t="inlineStr">
        <is>
          <t>Tax Rate %</t>
        </is>
      </c>
      <c r="B24" s="35" t="n">
        <v>0.24</v>
      </c>
      <c r="C24" s="35" t="n">
        <v>0.24</v>
      </c>
      <c r="D24" s="35" t="n">
        <v>0.24</v>
      </c>
      <c r="E24" s="35" t="n">
        <v>0.24</v>
      </c>
      <c r="F24" s="35" t="n">
        <v>0.24</v>
      </c>
      <c r="H24" t="inlineStr">
        <is>
          <t>Tax rate held at the 24.0% historical average effective rate.</t>
        </is>
      </c>
    </row>
    <row r="25">
      <c r="A25" s="5" t="inlineStr">
        <is>
          <t>Taxes on EBIT</t>
        </is>
      </c>
      <c r="B25" s="7">
        <f>MAX(B22,0)*B24</f>
        <v/>
      </c>
      <c r="C25" s="7">
        <f>MAX(C22,0)*C24</f>
        <v/>
      </c>
      <c r="D25" s="7">
        <f>MAX(D22,0)*D24</f>
        <v/>
      </c>
      <c r="E25" s="7">
        <f>MAX(E22,0)*E24</f>
        <v/>
      </c>
      <c r="F25" s="7">
        <f>MAX(F22,0)*F24</f>
        <v/>
      </c>
    </row>
    <row r="26">
      <c r="A26" s="5" t="inlineStr">
        <is>
          <t>NOPAT</t>
        </is>
      </c>
      <c r="B26" s="7">
        <f>B22-B25</f>
        <v/>
      </c>
      <c r="C26" s="7">
        <f>C22-C25</f>
        <v/>
      </c>
      <c r="D26" s="7">
        <f>D22-D25</f>
        <v/>
      </c>
      <c r="E26" s="7">
        <f>E22-E25</f>
        <v/>
      </c>
      <c r="F26" s="7">
        <f>F22-F25</f>
        <v/>
      </c>
    </row>
    <row r="27">
      <c r="A27" s="5" t="inlineStr">
        <is>
          <t>Capex % of Revenue</t>
        </is>
      </c>
      <c r="B27" s="35" t="n">
        <v>0.04616666666666667</v>
      </c>
      <c r="C27" s="35" t="n">
        <v>0.04325</v>
      </c>
      <c r="D27" s="35" t="n">
        <v>0.04033333333333334</v>
      </c>
      <c r="E27" s="35" t="n">
        <v>0.03741666666666667</v>
      </c>
      <c r="F27" s="35" t="n">
        <v>0.0345</v>
      </c>
      <c r="H27" t="inlineStr">
        <is>
          <t>[Bull Case] Capex modeled at 4.0% of revenue in FY2031, gliding from the 5.1% recent historical average (vs. 4.8% in the most recent year) toward 4.0% - the historical D&amp;A % of revenue - by FY2031, reflecting the standard DCF assumption that reinvestment normalizes to roughly track depreciation once the business settles into the stable long-run growth priced into the terminal value. Adjusted by -0.5% vs. Base Case.</t>
        </is>
      </c>
    </row>
    <row r="28">
      <c r="A28" s="5" t="inlineStr">
        <is>
          <t>Capex</t>
        </is>
      </c>
      <c r="B28" s="7">
        <f>B8*B27</f>
        <v/>
      </c>
      <c r="C28" s="7">
        <f>C8*C27</f>
        <v/>
      </c>
      <c r="D28" s="7">
        <f>D8*D27</f>
        <v/>
      </c>
      <c r="E28" s="7">
        <f>E8*E27</f>
        <v/>
      </c>
      <c r="F28" s="7">
        <f>F8*F27</f>
        <v/>
      </c>
    </row>
    <row r="29">
      <c r="A29" s="5" t="inlineStr">
        <is>
          <t>NWC % of Revenue</t>
        </is>
      </c>
      <c r="B29" s="35" t="n">
        <v>0.09558333333333331</v>
      </c>
      <c r="C29" s="35" t="n">
        <v>0.09558333333333331</v>
      </c>
      <c r="D29" s="35" t="n">
        <v>0.09558333333333331</v>
      </c>
      <c r="E29" s="35" t="n">
        <v>0.09558333333333331</v>
      </c>
      <c r="F29" s="35" t="n">
        <v>0.09558333333333331</v>
      </c>
      <c r="H29" t="inlineStr">
        <is>
          <t>[Bull Case] Net working capital modeled at the 10.1% historical average of revenue, held constant given no evidence of a structural change in payment terms. Adjusted by -0.5% vs. Base Case.</t>
        </is>
      </c>
    </row>
    <row r="30">
      <c r="A30" s="5" t="inlineStr">
        <is>
          <t>Net Working Capital</t>
        </is>
      </c>
      <c r="B30" s="7">
        <f>B8*B29</f>
        <v/>
      </c>
      <c r="C30" s="7">
        <f>C8*C29</f>
        <v/>
      </c>
      <c r="D30" s="7">
        <f>D8*D29</f>
        <v/>
      </c>
      <c r="E30" s="7">
        <f>E8*E29</f>
        <v/>
      </c>
      <c r="F30" s="7">
        <f>F8*F29</f>
        <v/>
      </c>
    </row>
    <row r="31">
      <c r="A31" s="5" t="inlineStr">
        <is>
          <t>Change in NWC</t>
        </is>
      </c>
      <c r="B31" s="7">
        <f>B30-'Historical BS'!G$27</f>
        <v/>
      </c>
      <c r="C31" s="7">
        <f>C30-B30</f>
        <v/>
      </c>
      <c r="D31" s="7">
        <f>D30-C30</f>
        <v/>
      </c>
      <c r="E31" s="7">
        <f>E30-D30</f>
        <v/>
      </c>
      <c r="F31" s="7">
        <f>F30-E30</f>
        <v/>
      </c>
    </row>
    <row r="32">
      <c r="A32" s="5" t="inlineStr">
        <is>
          <t>FCFF = NOPAT + D&amp;A − Capex − ΔNWC</t>
        </is>
      </c>
      <c r="B32" s="7">
        <f>B26+B21-B28-B31</f>
        <v/>
      </c>
      <c r="C32" s="7">
        <f>C26+C21-C28-C31</f>
        <v/>
      </c>
      <c r="D32" s="7">
        <f>D26+D21-D28-D31</f>
        <v/>
      </c>
      <c r="E32" s="7">
        <f>E26+E21-E28-E31</f>
        <v/>
      </c>
      <c r="F32" s="7">
        <f>F26+F21-F28-F31</f>
        <v/>
      </c>
    </row>
    <row r="33">
      <c r="A33" s="5" t="inlineStr">
        <is>
          <t>Discount Period (n)</t>
        </is>
      </c>
      <c r="B33" s="36" t="inlineStr">
        <is>
          <t>1</t>
        </is>
      </c>
      <c r="C33" s="36" t="inlineStr">
        <is>
          <t>2</t>
        </is>
      </c>
      <c r="D33" s="36" t="inlineStr">
        <is>
          <t>3</t>
        </is>
      </c>
      <c r="E33" s="36" t="inlineStr">
        <is>
          <t>4</t>
        </is>
      </c>
      <c r="F33" s="36" t="inlineStr">
        <is>
          <t>5</t>
        </is>
      </c>
    </row>
    <row r="34">
      <c r="A34" s="5" t="inlineStr">
        <is>
          <t>Discount Factor = 1/(1+WACC)^n</t>
        </is>
      </c>
      <c r="B34" s="37">
        <f>1/(1+$B$4)^B33</f>
        <v/>
      </c>
      <c r="C34" s="37">
        <f>1/(1+$B$4)^C33</f>
        <v/>
      </c>
      <c r="D34" s="37">
        <f>1/(1+$B$4)^D33</f>
        <v/>
      </c>
      <c r="E34" s="37">
        <f>1/(1+$B$4)^E33</f>
        <v/>
      </c>
      <c r="F34" s="37">
        <f>1/(1+$B$4)^F33</f>
        <v/>
      </c>
    </row>
    <row r="35">
      <c r="A35" s="5" t="inlineStr">
        <is>
          <t>PV of FCFF</t>
        </is>
      </c>
      <c r="B35" s="7">
        <f>B32*B34</f>
        <v/>
      </c>
      <c r="C35" s="7">
        <f>C32*C34</f>
        <v/>
      </c>
      <c r="D35" s="7">
        <f>D32*D34</f>
        <v/>
      </c>
      <c r="E35" s="7">
        <f>E32*E34</f>
        <v/>
      </c>
      <c r="F35" s="7">
        <f>F32*F34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2C55E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 ht="22" customHeight="1">
      <c r="A1" s="1" t="inlineStr">
        <is>
          <t>Discounted Cash Flow - Bull Case</t>
        </is>
      </c>
      <c r="B1" s="2" t="n"/>
    </row>
    <row r="3">
      <c r="A3" s="5" t="inlineStr">
        <is>
          <t>Sum of PV of Explicit-Period FCFF</t>
        </is>
      </c>
      <c r="B3" s="7">
        <f>SUMPRODUCT('Forecast &amp; FCFF (Bull)'!B32:F32,'Forecast &amp; FCFF (Bull)'!B34:F34)</f>
        <v/>
      </c>
    </row>
    <row r="4">
      <c r="A4" s="5" t="inlineStr">
        <is>
          <t>Base-Case Terminal g (live link) + Scenario Delta</t>
        </is>
      </c>
      <c r="B4" s="26">
        <f>'DCF (Base)'!$B$4+(0.005)</f>
        <v/>
      </c>
    </row>
    <row r="5">
      <c r="A5" s="5" t="inlineStr">
        <is>
          <t>Terminal FCFF = Final-Year FCFF × (1+g)</t>
        </is>
      </c>
      <c r="B5" s="7">
        <f>'Forecast &amp; FCFF (Bull)'!F32*(1+B4)</f>
        <v/>
      </c>
    </row>
    <row r="6">
      <c r="A6" s="5" t="inlineStr">
        <is>
          <t>Terminal Value (Gordon Growth) = TFCFF/(WACC−g)</t>
        </is>
      </c>
      <c r="B6" s="7">
        <f>B5/('Forecast &amp; FCFF (Bull)'!$B$4-B4)</f>
        <v/>
      </c>
    </row>
    <row r="7">
      <c r="A7" s="5" t="inlineStr">
        <is>
          <t>PV of Terminal Value</t>
        </is>
      </c>
      <c r="B7" s="7">
        <f>B6*'Forecast &amp; FCFF (Bull)'!F34</f>
        <v/>
      </c>
    </row>
    <row r="8">
      <c r="A8" s="5" t="inlineStr">
        <is>
          <t>Enterprise Value</t>
        </is>
      </c>
      <c r="B8" s="7">
        <f>B3+B7</f>
        <v/>
      </c>
    </row>
    <row r="9">
      <c r="A9" s="5" t="inlineStr">
        <is>
          <t>Terminal Value % of Enterprise Value</t>
        </is>
      </c>
      <c r="B9" s="19">
        <f>IFERROR(B7/B8,0)</f>
        <v/>
      </c>
    </row>
    <row r="10">
      <c r="A10" s="5" t="inlineStr">
        <is>
          <t>Exit Multiple (x EBITDA, cross-check)</t>
        </is>
      </c>
      <c r="B10" s="38" t="n">
        <v>14</v>
      </c>
    </row>
    <row r="11">
      <c r="A11" s="5" t="inlineStr">
        <is>
          <t>Terminal Value (Exit Multiple, memo)</t>
        </is>
      </c>
      <c r="B11" s="7">
        <f>'Forecast &amp; FCFF (Bull)'!F18*B10</f>
        <v/>
      </c>
    </row>
    <row r="13" ht="20" customHeight="1">
      <c r="A13" s="4" t="inlineStr">
        <is>
          <t>Enterprise Value → Equity Value Bridge</t>
        </is>
      </c>
      <c r="B13" s="4" t="n"/>
    </row>
    <row r="14">
      <c r="A14" s="5" t="inlineStr">
        <is>
          <t>Enterprise Value</t>
        </is>
      </c>
      <c r="B14" s="7">
        <f>B8</f>
        <v/>
      </c>
    </row>
    <row r="15">
      <c r="A15" s="5" t="inlineStr">
        <is>
          <t>+ Cash &amp; Investments</t>
        </is>
      </c>
      <c r="B15" s="24" t="n">
        <v>869.5717999999997</v>
      </c>
    </row>
    <row r="16">
      <c r="A16" s="5" t="inlineStr">
        <is>
          <t>− Total Debt</t>
        </is>
      </c>
      <c r="B16" s="24" t="n">
        <v>-215</v>
      </c>
    </row>
    <row r="17">
      <c r="A17" s="5" t="inlineStr">
        <is>
          <t>− Lease Liabilities</t>
        </is>
      </c>
      <c r="B17" s="24" t="n">
        <v>-40</v>
      </c>
    </row>
    <row r="18">
      <c r="A18" s="5" t="inlineStr">
        <is>
          <t>− Minority Interest</t>
        </is>
      </c>
      <c r="B18" s="24" t="n">
        <v>-0</v>
      </c>
    </row>
    <row r="19">
      <c r="A19" s="5" t="inlineStr">
        <is>
          <t>− Preferred Stock</t>
        </is>
      </c>
      <c r="B19" s="24" t="n">
        <v>-0</v>
      </c>
    </row>
    <row r="20">
      <c r="A20" s="5" t="inlineStr">
        <is>
          <t>Equity Value</t>
        </is>
      </c>
      <c r="B20" s="7">
        <f>B14+SUM(B15:B19)</f>
        <v/>
      </c>
    </row>
    <row r="21">
      <c r="A21" s="5" t="inlineStr">
        <is>
          <t>Diluted Shares Outstanding</t>
        </is>
      </c>
      <c r="B21" s="24" t="n">
        <v>115</v>
      </c>
    </row>
    <row r="22">
      <c r="A22" s="32" t="inlineStr">
        <is>
          <t>Equity Value per Share</t>
        </is>
      </c>
      <c r="B22" s="39">
        <f>IFERROR(B20/B21,0)</f>
        <v/>
      </c>
    </row>
    <row r="23">
      <c r="A23" s="5" t="inlineStr">
        <is>
          <t>Current Share Price</t>
        </is>
      </c>
      <c r="B23" s="40" t="n">
        <v>62.5</v>
      </c>
    </row>
    <row r="24">
      <c r="A24" s="5" t="inlineStr">
        <is>
          <t>Upside / (Downside) %</t>
        </is>
      </c>
      <c r="B24" s="19">
        <f>IFERROR(B22/B23-1,0)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60D70"/>
    <outlinePr summaryBelow="1" summaryRight="1"/>
    <pageSetUpPr/>
  </sheetPr>
  <dimension ref="A1:I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" t="inlineStr">
        <is>
          <t>Scenario Summary</t>
        </is>
      </c>
      <c r="B1" s="2" t="n"/>
    </row>
    <row r="3" ht="18" customHeight="1">
      <c r="A3" s="8" t="inlineStr">
        <is>
          <t>Scenario</t>
        </is>
      </c>
      <c r="B3" s="8" t="inlineStr">
        <is>
          <t>Value/Share</t>
        </is>
      </c>
      <c r="C3" s="8" t="inlineStr">
        <is>
          <t>Current Price</t>
        </is>
      </c>
      <c r="D3" s="8" t="inlineStr">
        <is>
          <t>Upside/(Downside)</t>
        </is>
      </c>
      <c r="E3" s="8" t="inlineStr">
        <is>
          <t>Enterprise Value</t>
        </is>
      </c>
      <c r="F3" s="8" t="inlineStr">
        <is>
          <t>Equity Value</t>
        </is>
      </c>
      <c r="G3" s="8" t="inlineStr">
        <is>
          <t>WACC</t>
        </is>
      </c>
      <c r="H3" s="8" t="inlineStr">
        <is>
          <t>Terminal Growth</t>
        </is>
      </c>
      <c r="I3" s="8" t="inlineStr">
        <is>
          <t>% EV from TV</t>
        </is>
      </c>
    </row>
    <row r="4">
      <c r="A4" s="9" t="inlineStr">
        <is>
          <t>Bear</t>
        </is>
      </c>
      <c r="B4" s="10">
        <f>'DCF (Bear)'!B22</f>
        <v/>
      </c>
      <c r="C4" s="10">
        <f>'DCF (Bear)'!B23</f>
        <v/>
      </c>
      <c r="D4" s="11">
        <f>'DCF (Bear)'!B24</f>
        <v/>
      </c>
      <c r="E4" s="42">
        <f>'DCF (Bear)'!B8</f>
        <v/>
      </c>
      <c r="F4" s="42">
        <f>'DCF (Bear)'!B20</f>
        <v/>
      </c>
      <c r="G4" s="11">
        <f>'Forecast &amp; FCFF (Bear)'!$B$4</f>
        <v/>
      </c>
      <c r="H4" s="11">
        <f>'DCF (Bear)'!B4</f>
        <v/>
      </c>
      <c r="I4" s="11">
        <f>IFERROR('DCF (Bear)'!B7/'DCF (Bear)'!B8,0)</f>
        <v/>
      </c>
    </row>
    <row r="5">
      <c r="A5" s="12" t="inlineStr">
        <is>
          <t>Base</t>
        </is>
      </c>
      <c r="B5" s="13">
        <f>'DCF (Base)'!B22</f>
        <v/>
      </c>
      <c r="C5" s="14">
        <f>'DCF (Base)'!B23</f>
        <v/>
      </c>
      <c r="D5" s="15">
        <f>'DCF (Base)'!B24</f>
        <v/>
      </c>
      <c r="E5" s="43">
        <f>'DCF (Base)'!B8</f>
        <v/>
      </c>
      <c r="F5" s="43">
        <f>'DCF (Base)'!B20</f>
        <v/>
      </c>
      <c r="G5" s="15">
        <f>WACC!$B$17</f>
        <v/>
      </c>
      <c r="H5" s="15">
        <f>'DCF (Base)'!B4</f>
        <v/>
      </c>
      <c r="I5" s="15">
        <f>IFERROR('DCF (Base)'!B7/'DCF (Base)'!B8,0)</f>
        <v/>
      </c>
    </row>
    <row r="6">
      <c r="A6" s="16" t="inlineStr">
        <is>
          <t>Bull</t>
        </is>
      </c>
      <c r="B6" s="17">
        <f>'DCF (Bull)'!B22</f>
        <v/>
      </c>
      <c r="C6" s="17">
        <f>'DCF (Bull)'!B23</f>
        <v/>
      </c>
      <c r="D6" s="18">
        <f>'DCF (Bull)'!B24</f>
        <v/>
      </c>
      <c r="E6" s="44">
        <f>'DCF (Bull)'!B8</f>
        <v/>
      </c>
      <c r="F6" s="44">
        <f>'DCF (Bull)'!B20</f>
        <v/>
      </c>
      <c r="G6" s="18">
        <f>'Forecast &amp; FCFF (Bull)'!$B$4</f>
        <v/>
      </c>
      <c r="H6" s="18">
        <f>'DCF (Bull)'!B4</f>
        <v/>
      </c>
      <c r="I6" s="18">
        <f>IFERROR('DCF (Bull)'!B7/'DCF (Bull)'!B8,0)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60D70"/>
    <outlinePr summaryBelow="1" summaryRight="1"/>
    <pageSetUpPr/>
  </sheetPr>
  <dimension ref="A1:F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Sensitivity - Enterprise Value: WACC × Terminal Growth (Base Case)</t>
        </is>
      </c>
      <c r="B1" s="2" t="n"/>
    </row>
    <row r="2">
      <c r="A2" t="inlineStr">
        <is>
          <t>Fully formula-driven: re-discounts the Base Case's own explicit FCFF at each row's WACC, and grows the final year's FCFF at each column's g for the terminal value, the same construction as the DCF (Base) tab.</t>
        </is>
      </c>
    </row>
    <row r="5" ht="18" customHeight="1">
      <c r="A5" s="8" t="inlineStr">
        <is>
          <t>WACC \ g</t>
        </is>
      </c>
      <c r="B5" s="45" t="n">
        <v>0.02</v>
      </c>
      <c r="C5" s="45" t="n">
        <v>0.025</v>
      </c>
      <c r="D5" s="45" t="n">
        <v>0.03</v>
      </c>
      <c r="E5" s="45" t="n">
        <v>0.035</v>
      </c>
      <c r="F5" s="45" t="n">
        <v>0.04</v>
      </c>
    </row>
    <row r="6">
      <c r="A6" s="46" t="n">
        <v>0.09315415183070205</v>
      </c>
      <c r="B6" s="7">
        <f>IFERROR(SUMPRODUCT('Forecast &amp; FCFF (Base)'!B29:F29,1/(1+$A6)^'Forecast &amp; FCFF (Base)'!B30:F30)+('Forecast &amp; FCFF (Base)'!F29*(1+B$5))/($A6-B$5)/(1+$A6)^'Forecast &amp; FCFF (Base)'!F30,"")</f>
        <v/>
      </c>
      <c r="C6" s="7">
        <f>IFERROR(SUMPRODUCT('Forecast &amp; FCFF (Base)'!B29:F29,1/(1+$A6)^'Forecast &amp; FCFF (Base)'!B30:F30)+('Forecast &amp; FCFF (Base)'!F29*(1+C$5))/($A6-C$5)/(1+$A6)^'Forecast &amp; FCFF (Base)'!F30,"")</f>
        <v/>
      </c>
      <c r="D6" s="7">
        <f>IFERROR(SUMPRODUCT('Forecast &amp; FCFF (Base)'!B29:F29,1/(1+$A6)^'Forecast &amp; FCFF (Base)'!B30:F30)+('Forecast &amp; FCFF (Base)'!F29*(1+D$5))/($A6-D$5)/(1+$A6)^'Forecast &amp; FCFF (Base)'!F30,"")</f>
        <v/>
      </c>
      <c r="E6" s="7">
        <f>IFERROR(SUMPRODUCT('Forecast &amp; FCFF (Base)'!B29:F29,1/(1+$A6)^'Forecast &amp; FCFF (Base)'!B30:F30)+('Forecast &amp; FCFF (Base)'!F29*(1+E$5))/($A6-E$5)/(1+$A6)^'Forecast &amp; FCFF (Base)'!F30,"")</f>
        <v/>
      </c>
      <c r="F6" s="7">
        <f>IFERROR(SUMPRODUCT('Forecast &amp; FCFF (Base)'!B29:F29,1/(1+$A6)^'Forecast &amp; FCFF (Base)'!B30:F30)+('Forecast &amp; FCFF (Base)'!F29*(1+F$5))/($A6-F$5)/(1+$A6)^'Forecast &amp; FCFF (Base)'!F30,"")</f>
        <v/>
      </c>
    </row>
    <row r="7">
      <c r="A7" s="46" t="n">
        <v>0.09815415183070204</v>
      </c>
      <c r="B7" s="7">
        <f>IFERROR(SUMPRODUCT('Forecast &amp; FCFF (Base)'!B29:F29,1/(1+$A7)^'Forecast &amp; FCFF (Base)'!B30:F30)+('Forecast &amp; FCFF (Base)'!F29*(1+B$5))/($A7-B$5)/(1+$A7)^'Forecast &amp; FCFF (Base)'!F30,"")</f>
        <v/>
      </c>
      <c r="C7" s="7">
        <f>IFERROR(SUMPRODUCT('Forecast &amp; FCFF (Base)'!B29:F29,1/(1+$A7)^'Forecast &amp; FCFF (Base)'!B30:F30)+('Forecast &amp; FCFF (Base)'!F29*(1+C$5))/($A7-C$5)/(1+$A7)^'Forecast &amp; FCFF (Base)'!F30,"")</f>
        <v/>
      </c>
      <c r="D7" s="7">
        <f>IFERROR(SUMPRODUCT('Forecast &amp; FCFF (Base)'!B29:F29,1/(1+$A7)^'Forecast &amp; FCFF (Base)'!B30:F30)+('Forecast &amp; FCFF (Base)'!F29*(1+D$5))/($A7-D$5)/(1+$A7)^'Forecast &amp; FCFF (Base)'!F30,"")</f>
        <v/>
      </c>
      <c r="E7" s="7">
        <f>IFERROR(SUMPRODUCT('Forecast &amp; FCFF (Base)'!B29:F29,1/(1+$A7)^'Forecast &amp; FCFF (Base)'!B30:F30)+('Forecast &amp; FCFF (Base)'!F29*(1+E$5))/($A7-E$5)/(1+$A7)^'Forecast &amp; FCFF (Base)'!F30,"")</f>
        <v/>
      </c>
      <c r="F7" s="7">
        <f>IFERROR(SUMPRODUCT('Forecast &amp; FCFF (Base)'!B29:F29,1/(1+$A7)^'Forecast &amp; FCFF (Base)'!B30:F30)+('Forecast &amp; FCFF (Base)'!F29*(1+F$5))/($A7-F$5)/(1+$A7)^'Forecast &amp; FCFF (Base)'!F30,"")</f>
        <v/>
      </c>
    </row>
    <row r="8">
      <c r="A8" s="46" t="n">
        <v>0.103154151830702</v>
      </c>
      <c r="B8" s="7">
        <f>IFERROR(SUMPRODUCT('Forecast &amp; FCFF (Base)'!B29:F29,1/(1+$A8)^'Forecast &amp; FCFF (Base)'!B30:F30)+('Forecast &amp; FCFF (Base)'!F29*(1+B$5))/($A8-B$5)/(1+$A8)^'Forecast &amp; FCFF (Base)'!F30,"")</f>
        <v/>
      </c>
      <c r="C8" s="7">
        <f>IFERROR(SUMPRODUCT('Forecast &amp; FCFF (Base)'!B29:F29,1/(1+$A8)^'Forecast &amp; FCFF (Base)'!B30:F30)+('Forecast &amp; FCFF (Base)'!F29*(1+C$5))/($A8-C$5)/(1+$A8)^'Forecast &amp; FCFF (Base)'!F30,"")</f>
        <v/>
      </c>
      <c r="D8" s="47">
        <f>IFERROR(SUMPRODUCT('Forecast &amp; FCFF (Base)'!B29:F29,1/(1+$A8)^'Forecast &amp; FCFF (Base)'!B30:F30)+('Forecast &amp; FCFF (Base)'!F29*(1+D$5))/($A8-D$5)/(1+$A8)^'Forecast &amp; FCFF (Base)'!F30,"")</f>
        <v/>
      </c>
      <c r="E8" s="7">
        <f>IFERROR(SUMPRODUCT('Forecast &amp; FCFF (Base)'!B29:F29,1/(1+$A8)^'Forecast &amp; FCFF (Base)'!B30:F30)+('Forecast &amp; FCFF (Base)'!F29*(1+E$5))/($A8-E$5)/(1+$A8)^'Forecast &amp; FCFF (Base)'!F30,"")</f>
        <v/>
      </c>
      <c r="F8" s="7">
        <f>IFERROR(SUMPRODUCT('Forecast &amp; FCFF (Base)'!B29:F29,1/(1+$A8)^'Forecast &amp; FCFF (Base)'!B30:F30)+('Forecast &amp; FCFF (Base)'!F29*(1+F$5))/($A8-F$5)/(1+$A8)^'Forecast &amp; FCFF (Base)'!F30,"")</f>
        <v/>
      </c>
    </row>
    <row r="9">
      <c r="A9" s="46" t="n">
        <v>0.1081541518307021</v>
      </c>
      <c r="B9" s="7">
        <f>IFERROR(SUMPRODUCT('Forecast &amp; FCFF (Base)'!B29:F29,1/(1+$A9)^'Forecast &amp; FCFF (Base)'!B30:F30)+('Forecast &amp; FCFF (Base)'!F29*(1+B$5))/($A9-B$5)/(1+$A9)^'Forecast &amp; FCFF (Base)'!F30,"")</f>
        <v/>
      </c>
      <c r="C9" s="7">
        <f>IFERROR(SUMPRODUCT('Forecast &amp; FCFF (Base)'!B29:F29,1/(1+$A9)^'Forecast &amp; FCFF (Base)'!B30:F30)+('Forecast &amp; FCFF (Base)'!F29*(1+C$5))/($A9-C$5)/(1+$A9)^'Forecast &amp; FCFF (Base)'!F30,"")</f>
        <v/>
      </c>
      <c r="D9" s="7">
        <f>IFERROR(SUMPRODUCT('Forecast &amp; FCFF (Base)'!B29:F29,1/(1+$A9)^'Forecast &amp; FCFF (Base)'!B30:F30)+('Forecast &amp; FCFF (Base)'!F29*(1+D$5))/($A9-D$5)/(1+$A9)^'Forecast &amp; FCFF (Base)'!F30,"")</f>
        <v/>
      </c>
      <c r="E9" s="7">
        <f>IFERROR(SUMPRODUCT('Forecast &amp; FCFF (Base)'!B29:F29,1/(1+$A9)^'Forecast &amp; FCFF (Base)'!B30:F30)+('Forecast &amp; FCFF (Base)'!F29*(1+E$5))/($A9-E$5)/(1+$A9)^'Forecast &amp; FCFF (Base)'!F30,"")</f>
        <v/>
      </c>
      <c r="F9" s="7">
        <f>IFERROR(SUMPRODUCT('Forecast &amp; FCFF (Base)'!B29:F29,1/(1+$A9)^'Forecast &amp; FCFF (Base)'!B30:F30)+('Forecast &amp; FCFF (Base)'!F29*(1+F$5))/($A9-F$5)/(1+$A9)^'Forecast &amp; FCFF (Base)'!F30,"")</f>
        <v/>
      </c>
    </row>
    <row r="10">
      <c r="A10" s="46" t="n">
        <v>0.113154151830702</v>
      </c>
      <c r="B10" s="7">
        <f>IFERROR(SUMPRODUCT('Forecast &amp; FCFF (Base)'!B29:F29,1/(1+$A10)^'Forecast &amp; FCFF (Base)'!B30:F30)+('Forecast &amp; FCFF (Base)'!F29*(1+B$5))/($A10-B$5)/(1+$A10)^'Forecast &amp; FCFF (Base)'!F30,"")</f>
        <v/>
      </c>
      <c r="C10" s="7">
        <f>IFERROR(SUMPRODUCT('Forecast &amp; FCFF (Base)'!B29:F29,1/(1+$A10)^'Forecast &amp; FCFF (Base)'!B30:F30)+('Forecast &amp; FCFF (Base)'!F29*(1+C$5))/($A10-C$5)/(1+$A10)^'Forecast &amp; FCFF (Base)'!F30,"")</f>
        <v/>
      </c>
      <c r="D10" s="7">
        <f>IFERROR(SUMPRODUCT('Forecast &amp; FCFF (Base)'!B29:F29,1/(1+$A10)^'Forecast &amp; FCFF (Base)'!B30:F30)+('Forecast &amp; FCFF (Base)'!F29*(1+D$5))/($A10-D$5)/(1+$A10)^'Forecast &amp; FCFF (Base)'!F30,"")</f>
        <v/>
      </c>
      <c r="E10" s="7">
        <f>IFERROR(SUMPRODUCT('Forecast &amp; FCFF (Base)'!B29:F29,1/(1+$A10)^'Forecast &amp; FCFF (Base)'!B30:F30)+('Forecast &amp; FCFF (Base)'!F29*(1+E$5))/($A10-E$5)/(1+$A10)^'Forecast &amp; FCFF (Base)'!F30,"")</f>
        <v/>
      </c>
      <c r="F10" s="7">
        <f>IFERROR(SUMPRODUCT('Forecast &amp; FCFF (Base)'!B29:F29,1/(1+$A10)^'Forecast &amp; FCFF (Base)'!B30:F30)+('Forecast &amp; FCFF (Base)'!F29*(1+F$5))/($A10-F$5)/(1+$A10)^'Forecast &amp; FCFF (Base)'!F30,"")</f>
        <v/>
      </c>
    </row>
    <row r="13" ht="20" customHeight="1">
      <c r="A13" s="4" t="inlineStr">
        <is>
          <t>Ranked Valuation Drivers (EV swing %, full model re-run per shift; see Sources &amp; Notes)</t>
        </is>
      </c>
      <c r="B13" s="4" t="n"/>
    </row>
    <row r="14" ht="18" customHeight="1">
      <c r="A14" s="8" t="inlineStr">
        <is>
          <t>Driver</t>
        </is>
      </c>
      <c r="B14" s="8" t="inlineStr">
        <is>
          <t>EV Swing %</t>
        </is>
      </c>
    </row>
    <row r="15">
      <c r="A15" t="inlineStr">
        <is>
          <t>WACC (+/-1.0pp)</t>
        </is>
      </c>
      <c r="B15" s="48" t="n">
        <v>0.2872824557484125</v>
      </c>
    </row>
    <row r="16">
      <c r="A16" t="inlineStr">
        <is>
          <t>Terminal Growth (+/-0.5pp)</t>
        </is>
      </c>
      <c r="B16" s="48" t="n">
        <v>0.1080683390973923</v>
      </c>
    </row>
    <row r="17">
      <c r="A17" t="inlineStr">
        <is>
          <t>Terminal EBITDA Margin (+/-1.0pp)</t>
        </is>
      </c>
      <c r="B17" s="48" t="n">
        <v>0.08546076827010848</v>
      </c>
    </row>
    <row r="18">
      <c r="A18" t="inlineStr">
        <is>
          <t>Revenue CAGR (+/-1.0pp/yr)</t>
        </is>
      </c>
      <c r="B18" s="48" t="n">
        <v>0.07150289792700443</v>
      </c>
    </row>
    <row r="19">
      <c r="A19" t="inlineStr">
        <is>
          <t>Capex % of Revenue (+/-0.5pp)</t>
        </is>
      </c>
      <c r="B19" s="48" t="n">
        <v>0.05622418965138717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Sources &amp; Notes</t>
        </is>
      </c>
      <c r="B1" s="2" t="n"/>
    </row>
    <row r="3" ht="20" customHeight="1">
      <c r="A3" s="4" t="inlineStr">
        <is>
          <t>Methodology</t>
        </is>
      </c>
    </row>
    <row r="4" ht="30" customHeight="1">
      <c r="A4" t="inlineStr">
        <is>
          <t>Enterprise value is built as an unlevered Free Cash Flow to Firm (FCFF) DCF: FCFF = NOPAT + D&amp;A − Capex − Change in NWC, discounted at WACC (CAPM cost of equity + after-tax cost of debt, weighted by market value of equity and debt).</t>
        </is>
      </c>
    </row>
    <row r="5" ht="30" customHeight="1">
      <c r="A5" t="inlineStr">
        <is>
          <t>Terminal value uses the Gordon Growth perpetuity, Terminal FCFF / (WACC − g), discounted back at the same WACC and same convention as the explicit-period cash flows; an EBITDA exit-multiple value is shown alongside as a cross-check only, not used in the primary Enterprise Value.</t>
        </is>
      </c>
    </row>
    <row r="6" ht="30" customHeight="1">
      <c r="A6" t="inlineStr">
        <is>
          <t>COGS/operating-expense line items from automated data sources are not always independently broken out; where that is the case, EBITDA/EBIT/Pre-Tax/Net Income are the source's own reported figures, with the Revenue-to-EBITDA gap allocated to a single combined opex line (see the Historical IS tab).</t>
        </is>
      </c>
    </row>
    <row r="7" ht="30" customHeight="1">
      <c r="A7" t="inlineStr">
        <is>
          <t>Historical Balance Sheet 'Other Assets'/'Other Liabilities' are residual (plug) figures computed against the source's own reported Total Assets/Total Liabilities, so every historical year ties out exactly to Assets = Liabilities + Equity (see the Balance Check row on the Historical BS tab).</t>
        </is>
      </c>
    </row>
    <row r="8" ht="30" customHeight="1">
      <c r="A8" t="inlineStr">
        <is>
          <t>Bear/Bull scenarios shift revenue growth, margins, capex/NWC intensity, WACC, and terminal growth from the Base Case by fixed deltas (see each scenario's own Forecast &amp; FCFF tab for its inputs and rationale) rather than being independently re-derived from source data.</t>
        </is>
      </c>
    </row>
    <row r="9" ht="30" customHeight="1">
      <c r="A9" t="inlineStr">
        <is>
          <t>The Sensitivity and Value-Driver Ranking figures are produced by fully re-running this Python model with one assumption shifted at a time (not a linear approximation); the WACC × Growth grid on the Sensitivity tab is reproduced as a live Excel formula, while the driver-ranking swings for drivers outside that 2-D grid (revenue growth, margin, capex) are pasted from that Python re-run.</t>
        </is>
      </c>
    </row>
    <row r="11" ht="20" customHeight="1">
      <c r="A11" s="4" t="inlineStr">
        <is>
          <t>Data Ingestion Notes</t>
        </is>
      </c>
    </row>
    <row r="12">
      <c r="A12" t="inlineStr">
        <is>
          <t>This model was built from a sample company or manually entered data: no automated data-source notes apply.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2026-09-13T18:51:14Z</dcterms:created>
  <dcterms:modified xmlns:dcterms="http://purl.org/dc/terms/" xmlns:xsi="http://www.w3.org/2001/XMLSchema-instance" xsi:type="dcterms:W3CDTF">2026-09-13T18:51:14Z</dcterms:modified>
</cp:coreProperties>
</file>